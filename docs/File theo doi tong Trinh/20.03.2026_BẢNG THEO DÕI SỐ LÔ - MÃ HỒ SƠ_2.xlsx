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I NHÁNH LONG AN\TRINH\"/>
    </mc:Choice>
  </mc:AlternateContent>
  <xr:revisionPtr revIDLastSave="0" documentId="8_{DCC161B6-0E9E-4DB3-9168-740E513FCF2B}" xr6:coauthVersionLast="47" xr6:coauthVersionMax="47" xr10:uidLastSave="{00000000-0000-0000-0000-000000000000}"/>
  <bookViews>
    <workbookView xWindow="-110" yWindow="-110" windowWidth="25820" windowHeight="15500" activeTab="2" xr2:uid="{4700EB2D-8CF1-4CED-A947-D8DEF5106A5B}"/>
  </bookViews>
  <sheets>
    <sheet name="Mã hồ sơ_ 2025" sheetId="1" r:id="rId1"/>
    <sheet name="Mã hồ sơ _ 2026" sheetId="3" r:id="rId2"/>
    <sheet name="Phiếu kiểm nghiệm" sheetId="2" r:id="rId3"/>
  </sheets>
  <definedNames>
    <definedName name="_xlnm._FilterDatabase" localSheetId="0" hidden="1">'Mã hồ sơ_ 2025'!$E$2:$E$22</definedName>
    <definedName name="_xlnm._FilterDatabase" localSheetId="2" hidden="1">'Phiếu kiểm nghiệm'!$E$2:$H$36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4" i="3"/>
  <c r="J24" i="3"/>
  <c r="I23" i="3"/>
  <c r="J23" i="3"/>
  <c r="I22" i="3"/>
  <c r="J22" i="3"/>
  <c r="I21" i="3"/>
  <c r="J21" i="3"/>
  <c r="I20" i="3"/>
  <c r="J20" i="3"/>
  <c r="I19" i="3"/>
  <c r="J19" i="3"/>
  <c r="I18" i="3"/>
  <c r="J18" i="3"/>
  <c r="I17" i="3"/>
  <c r="J17" i="3"/>
  <c r="I16" i="3"/>
  <c r="J16" i="3"/>
  <c r="I15" i="3"/>
  <c r="J15" i="3"/>
  <c r="I14" i="3"/>
  <c r="J14" i="3"/>
  <c r="I13" i="3"/>
  <c r="J13" i="3"/>
  <c r="I12" i="3"/>
  <c r="J12" i="3"/>
  <c r="I11" i="3"/>
  <c r="J11" i="3"/>
  <c r="I10" i="3"/>
  <c r="J10" i="3"/>
  <c r="I9" i="3"/>
  <c r="J9" i="3"/>
  <c r="I8" i="3"/>
  <c r="J8" i="3"/>
  <c r="I7" i="3"/>
  <c r="J7" i="3"/>
  <c r="I6" i="3"/>
  <c r="J6" i="3"/>
  <c r="I5" i="3"/>
  <c r="J5" i="3"/>
  <c r="I4" i="3"/>
  <c r="J4" i="3"/>
  <c r="I3" i="3"/>
  <c r="J3" i="3"/>
</calcChain>
</file>

<file path=xl/sharedStrings.xml><?xml version="1.0" encoding="utf-8"?>
<sst xmlns="http://schemas.openxmlformats.org/spreadsheetml/2006/main" count="675" uniqueCount="305">
  <si>
    <t>STT</t>
  </si>
  <si>
    <t>Tên KH</t>
  </si>
  <si>
    <t>Nhãn hàng</t>
  </si>
  <si>
    <t>Sản phẩm</t>
  </si>
  <si>
    <t>Tên Công Ty</t>
  </si>
  <si>
    <t>Tên công bố</t>
  </si>
  <si>
    <t>Số Công bố</t>
  </si>
  <si>
    <t>Ngày hiệu lực</t>
  </si>
  <si>
    <t>Ngày hết hạn</t>
  </si>
  <si>
    <t>Mã sản phẩm</t>
  </si>
  <si>
    <t>Mã Hồ sơ lô</t>
  </si>
  <si>
    <t>Số lô</t>
  </si>
  <si>
    <t>Mã Hồ sơ</t>
  </si>
  <si>
    <t>Chị Thúy - KHL</t>
  </si>
  <si>
    <t>CÔNG TY TNHH BÁNH MÌ CẬU VÀNG</t>
  </si>
  <si>
    <t>Noé</t>
  </si>
  <si>
    <t>Kem chống nắng</t>
  </si>
  <si>
    <t>ANTI-AGING UV PROTECTION SUNSCREEN</t>
  </si>
  <si>
    <t>1857/25/CBMP_LA</t>
  </si>
  <si>
    <t>FKCN01</t>
  </si>
  <si>
    <t>KN-HSL/001/025/Noe</t>
  </si>
  <si>
    <t>001</t>
  </si>
  <si>
    <t>Sữa rửa mặt</t>
  </si>
  <si>
    <t>VITAMIN BRIGHTENING CLEANSING GEL</t>
  </si>
  <si>
    <t>1856/25/CBMP_LA</t>
  </si>
  <si>
    <t>FSRM001</t>
  </si>
  <si>
    <t>KN-HSL/002/025/Noe</t>
  </si>
  <si>
    <t>002</t>
  </si>
  <si>
    <t>Mặt nạ</t>
  </si>
  <si>
    <t>MOISTURIZING FACIAL MASK</t>
  </si>
  <si>
    <t>1858/25/CBMP_LA</t>
  </si>
  <si>
    <t>FMASK01</t>
  </si>
  <si>
    <t>KN-HSL/003/025/Noe</t>
  </si>
  <si>
    <t>003</t>
  </si>
  <si>
    <t>Chị Ngọc - Quận 9</t>
  </si>
  <si>
    <t>CÔNG TY TNHH OHELAH COSMETICS</t>
  </si>
  <si>
    <t>OHELAH</t>
  </si>
  <si>
    <t>Toner</t>
  </si>
  <si>
    <t>GLOW LOTION</t>
  </si>
  <si>
    <t>2057/25/CBMP_LA</t>
  </si>
  <si>
    <t>FTON001</t>
  </si>
  <si>
    <t>KN-HSL/004/025/0HELAH</t>
  </si>
  <si>
    <t>300625</t>
  </si>
  <si>
    <t>004</t>
  </si>
  <si>
    <t>Kem nám</t>
  </si>
  <si>
    <t>MELASMA CREAM</t>
  </si>
  <si>
    <t>2058/25/CBMP_LA</t>
  </si>
  <si>
    <t>FKNA001</t>
  </si>
  <si>
    <t>KN-HSL/005/025/OHELAH</t>
  </si>
  <si>
    <t>005</t>
  </si>
  <si>
    <t>Kem dưỡng trắng da</t>
  </si>
  <si>
    <t>WHITENING CREAM</t>
  </si>
  <si>
    <t>2059/25/CBMP_LA</t>
  </si>
  <si>
    <t>FKDT001</t>
  </si>
  <si>
    <t>KN-HSL/006/025/OHELAH</t>
  </si>
  <si>
    <t>006</t>
  </si>
  <si>
    <t>Kem phục hồi</t>
  </si>
  <si>
    <t>MOISTURIZING CREAM</t>
  </si>
  <si>
    <t>1032/25/CBMP_TN</t>
  </si>
  <si>
    <t>FKPH001AP</t>
  </si>
  <si>
    <t>KN-HSL/007/025/OHELAH</t>
  </si>
  <si>
    <t>230925</t>
  </si>
  <si>
    <t>007</t>
  </si>
  <si>
    <t>Công ty Đồng Tâm</t>
  </si>
  <si>
    <t>CÔNG TY TNHH HTTK ĐỒNG TÂM</t>
  </si>
  <si>
    <t>BEEACNES</t>
  </si>
  <si>
    <t>Gel mụn</t>
  </si>
  <si>
    <t>ACNES CONTROL GEL</t>
  </si>
  <si>
    <t>1095/25/CBMP_TN</t>
  </si>
  <si>
    <t>FGMU001AP</t>
  </si>
  <si>
    <t>KN-HSL/008/025/BEEACNES</t>
  </si>
  <si>
    <t>031125</t>
  </si>
  <si>
    <t>008</t>
  </si>
  <si>
    <t>Chị Trâm - Quận 1</t>
  </si>
  <si>
    <t>CÔNG TY TNHH CARROT PLUS</t>
  </si>
  <si>
    <t>CARROT</t>
  </si>
  <si>
    <t>Kem body</t>
  </si>
  <si>
    <t>WHITENING BODY CREAM</t>
  </si>
  <si>
    <t>1093/25/CBMP_TN</t>
  </si>
  <si>
    <t>BPTN001AP</t>
  </si>
  <si>
    <t>KN-HSL/009/025/CARROT</t>
  </si>
  <si>
    <t>011125</t>
  </si>
  <si>
    <t>009</t>
  </si>
  <si>
    <t>SUN CREAM</t>
  </si>
  <si>
    <t>1094/25/CBMP_TN</t>
  </si>
  <si>
    <t>FKCN002AP</t>
  </si>
  <si>
    <t>KN-HSL/010/025/CARROT</t>
  </si>
  <si>
    <t>010</t>
  </si>
  <si>
    <t>GIA KỲ - QUẬN 7</t>
  </si>
  <si>
    <t>CÔNG TY TNHH GIA KỲ COSMETICS</t>
  </si>
  <si>
    <t>GIAKY</t>
  </si>
  <si>
    <t>SHIMMERING &amp; HYDRATING LIQUID BLUSH 
(MÀU CÁNH HỒNG KHÔ)</t>
  </si>
  <si>
    <t>1628/25/CBMP_TN</t>
  </si>
  <si>
    <t>FMHK001NC</t>
  </si>
  <si>
    <t xml:space="preserve">KN-HSL/011/025/GIAKY </t>
  </si>
  <si>
    <t>011</t>
  </si>
  <si>
    <t>SHIMMERING &amp; HYDRATING LIQUID BLUSH 
(MÀU HỒNG LAVENDER)</t>
  </si>
  <si>
    <t>FMHK002NC</t>
  </si>
  <si>
    <t xml:space="preserve">KN-HSL/012/025/GIAKY </t>
  </si>
  <si>
    <t>012</t>
  </si>
  <si>
    <t>SHIMMERING &amp; HYDRATING LIQUID BLUSH 
(MÀU ĐỎ DƯA HẤU)</t>
  </si>
  <si>
    <t>FMHK003NC</t>
  </si>
  <si>
    <t xml:space="preserve">KN-HSL/013/025/GIAKY </t>
  </si>
  <si>
    <t>013</t>
  </si>
  <si>
    <t>SHIMMERING &amp; HYDRATING LIQUID BLUSH 
(MÀU HỒNG SỮA DÂU)</t>
  </si>
  <si>
    <t>FMHK004NC</t>
  </si>
  <si>
    <t xml:space="preserve">KN-HSL/014/025/GIAKY </t>
  </si>
  <si>
    <t>014</t>
  </si>
  <si>
    <t>SHIMMERING &amp; HYDRATING LIQUID BLUSH 
(MÀU HỒNG ANH ĐÀO)</t>
  </si>
  <si>
    <t>FMHK005NC</t>
  </si>
  <si>
    <t xml:space="preserve">KN-HSL/015/025/GIAKY </t>
  </si>
  <si>
    <t>015</t>
  </si>
  <si>
    <t>SHIMMERING &amp; HYDRATING LIQUID BLUSH 
(MÀU HỒNG ỔI)</t>
  </si>
  <si>
    <t>FMHK006NC</t>
  </si>
  <si>
    <t xml:space="preserve">KN-HSL/016/025/GIAKY </t>
  </si>
  <si>
    <t>016</t>
  </si>
  <si>
    <t>Chị Hương Linh</t>
  </si>
  <si>
    <t>CÔNG TY TNHH CAO GỪNG HOÀNG CUNG</t>
  </si>
  <si>
    <t>Cao Gừng Hoàng Cung</t>
  </si>
  <si>
    <t>Gel tan mỡ</t>
  </si>
  <si>
    <t>GEL MASSAGE BODY CAO GỪNG HOÀNG CUNG</t>
  </si>
  <si>
    <t>1033/25/CBMP_TN</t>
  </si>
  <si>
    <t>BGTM001NC</t>
  </si>
  <si>
    <t>KN-HSL/017/025/Caogunghoangcung</t>
  </si>
  <si>
    <t>017</t>
  </si>
  <si>
    <t>Anh Khoa - Quận 11</t>
  </si>
  <si>
    <t>CÔNG TY TNHH THƯƠNG MẠI LALA BEAUTÉ</t>
  </si>
  <si>
    <t>LALA</t>
  </si>
  <si>
    <t>BRIGHTENING SERUM</t>
  </si>
  <si>
    <t>1854/25/CBMP_TN</t>
  </si>
  <si>
    <t>Nước tẩy trang</t>
  </si>
  <si>
    <t>SOOTHING MICELLAR CLEANSING WATER</t>
  </si>
  <si>
    <t>1994/25/CBMP_TN</t>
  </si>
  <si>
    <t>Công ty DVB</t>
  </si>
  <si>
    <t>CÔNG TY CỔ PHẦN TẬP ĐOÀN DVB</t>
  </si>
  <si>
    <t>PERFECT GEL</t>
  </si>
  <si>
    <t>Gel massage body</t>
  </si>
  <si>
    <t>BODY MASSAGE GEL</t>
  </si>
  <si>
    <t>2120/25/CBMP_TN</t>
  </si>
  <si>
    <t>CÔNG TY TNHH THƯƠNG MẠI DỊCH VỤ MỸ PHẨM THANH HÀ</t>
  </si>
  <si>
    <t>THANH HÀ COSMETICS</t>
  </si>
  <si>
    <t>COLLAGEN CREAM</t>
  </si>
  <si>
    <t>1143/25/CBMP_TN</t>
  </si>
  <si>
    <t>1144/25/CBMP_TN</t>
  </si>
  <si>
    <t>1145/25/CBMP_TN</t>
  </si>
  <si>
    <t>Người lập biểu</t>
  </si>
  <si>
    <t>Phạm Hoàng Linh Chi</t>
  </si>
  <si>
    <t>Má hồng kem 
(Màu Hồng lavender)</t>
  </si>
  <si>
    <t>Má hồng kem 
(Màu Cánh hồng khô)</t>
  </si>
  <si>
    <t>Má hồng kem 
(Màu Đỏ dưa hấu)</t>
  </si>
  <si>
    <t>Má hồng kem 
(Màu Hồng sữa dâu)</t>
  </si>
  <si>
    <t>Má hồng kem 
(Màu Hồng anh đào)</t>
  </si>
  <si>
    <t>Má hồng kem  
(Màu Hồng ổi)</t>
  </si>
  <si>
    <t>241125</t>
  </si>
  <si>
    <t>KN-HSL/018/025/LALA</t>
  </si>
  <si>
    <t>018</t>
  </si>
  <si>
    <t>FSRU001NC</t>
  </si>
  <si>
    <t>Serum dưỡng trắng - sáng da</t>
  </si>
  <si>
    <t>Dầu dưỡng tóc</t>
  </si>
  <si>
    <t xml:space="preserve"> </t>
  </si>
  <si>
    <t>ClmenStore</t>
  </si>
  <si>
    <t>CÔNG TY TNHH CL GROOMING</t>
  </si>
  <si>
    <t>DẦU DƯỠNG TÓC</t>
  </si>
  <si>
    <t>2154/25/CBMP_TN</t>
  </si>
  <si>
    <t>Anh Huy - Quận 11</t>
  </si>
  <si>
    <t>Skin by Vita</t>
  </si>
  <si>
    <t>Bold me</t>
  </si>
  <si>
    <t>CÔNG TY TNHH ESME QUÁ ĐẸP VIỆT NAM</t>
  </si>
  <si>
    <t>VITALITY SHEET MASK</t>
  </si>
  <si>
    <t>2517/25/CBMP_TN</t>
  </si>
  <si>
    <t>191225</t>
  </si>
  <si>
    <t>KN-HSL/019/025/SkinbyVita</t>
  </si>
  <si>
    <t>019</t>
  </si>
  <si>
    <t>SKIN. BY VITA</t>
  </si>
  <si>
    <t>FMNM001NC</t>
  </si>
  <si>
    <t>Kem lotion</t>
  </si>
  <si>
    <t>NANO HA MICRO SURGE CREAM</t>
  </si>
  <si>
    <t>2518/25/CBMP_TN</t>
  </si>
  <si>
    <t>FKDA001NC</t>
  </si>
  <si>
    <t>72 HOURS MIRACLE SERUM</t>
  </si>
  <si>
    <t>2519/25/CBMP_TN</t>
  </si>
  <si>
    <t>FSER001NC</t>
  </si>
  <si>
    <t>CÔNG TY CỔ PHẦN BOLD ME VIỆT NAM</t>
  </si>
  <si>
    <t>BOLD ME</t>
  </si>
  <si>
    <t>Son màu đỏ đất</t>
  </si>
  <si>
    <t>FSOK001NC</t>
  </si>
  <si>
    <t>Son màu cam đất</t>
  </si>
  <si>
    <t>Son màu hồng đào</t>
  </si>
  <si>
    <t>Son màu đỏ nhung</t>
  </si>
  <si>
    <t>Son màu đỏ rượu vang</t>
  </si>
  <si>
    <t>FSOK002NC</t>
  </si>
  <si>
    <t>FSOK003NC</t>
  </si>
  <si>
    <t>FSOK004NC</t>
  </si>
  <si>
    <t>FSOK005NC</t>
  </si>
  <si>
    <t>LIQUID LIPSTICK
(Đỏ đất)</t>
  </si>
  <si>
    <t>LIQUID LIPSTICK
(Cam đất)</t>
  </si>
  <si>
    <t>LIQUID LIPSTICK
(Hồng đào)</t>
  </si>
  <si>
    <t>LIQUID LIPSTICK
(Đỏ nhung)</t>
  </si>
  <si>
    <t>LIQUID LIPSTICK
(Đỏ rượu vang)</t>
  </si>
  <si>
    <t>2520/25/CBMP_TN</t>
  </si>
  <si>
    <t>CÔNG TY TNHH SẢN XUẤT THƯƠNG MẠI DỊCH VỤ MILANCOS</t>
  </si>
  <si>
    <t>D-C</t>
  </si>
  <si>
    <t>Kem mụn</t>
  </si>
  <si>
    <t>ACNES CONTROL CREAM</t>
  </si>
  <si>
    <t>2594/25/CBMP_TN</t>
  </si>
  <si>
    <t>301225</t>
  </si>
  <si>
    <t>020</t>
  </si>
  <si>
    <t>BB CREAM</t>
  </si>
  <si>
    <t>2595/25/CBMP_TN</t>
  </si>
  <si>
    <t>021</t>
  </si>
  <si>
    <t>FKMU001AP</t>
  </si>
  <si>
    <t>Dì Hằng - Vĩnh Long</t>
  </si>
  <si>
    <t>050126</t>
  </si>
  <si>
    <t>KN-HSL/020/025/D-C</t>
  </si>
  <si>
    <t>SEA SALT SPRAY</t>
  </si>
  <si>
    <t>2564/25/CBMP_TN</t>
  </si>
  <si>
    <t>KN-HSL/021/026/ClmenStore</t>
  </si>
  <si>
    <t>Xịt tóc</t>
  </si>
  <si>
    <t>HDDT001AP</t>
  </si>
  <si>
    <t>050126-01</t>
  </si>
  <si>
    <t>050126-02</t>
  </si>
  <si>
    <t>050126-03</t>
  </si>
  <si>
    <t>050126-04</t>
  </si>
  <si>
    <t>050126-05</t>
  </si>
  <si>
    <t>KN-HSL/022/026/Boldme</t>
  </si>
  <si>
    <t>KN-HSL/023/026/Boldme</t>
  </si>
  <si>
    <t>KN-HSL/024/026/Boldme</t>
  </si>
  <si>
    <t>KN-HSL/025/026/Boldme</t>
  </si>
  <si>
    <t>KN-HSL/026/026/Boldme</t>
  </si>
  <si>
    <t>022</t>
  </si>
  <si>
    <t>023</t>
  </si>
  <si>
    <t>024</t>
  </si>
  <si>
    <t>025</t>
  </si>
  <si>
    <t>026</t>
  </si>
  <si>
    <t>Chị Hà - SG</t>
  </si>
  <si>
    <t>027</t>
  </si>
  <si>
    <t>028</t>
  </si>
  <si>
    <t>029</t>
  </si>
  <si>
    <t>090126</t>
  </si>
  <si>
    <t>KN-HSL/027/026/ThanhHaCosmetics</t>
  </si>
  <si>
    <t>KN-HSL/028/026/ThanhHaCosmetics</t>
  </si>
  <si>
    <t>KN-HSL/029/026/ThanhHaCosmetics</t>
  </si>
  <si>
    <t>Kem body phân tử nước</t>
  </si>
  <si>
    <t>Tình trạng phiếu kiểm nghiệm</t>
  </si>
  <si>
    <t>BẢNG THEO DÕI PHIẾU KIỂM NGHIỆM</t>
  </si>
  <si>
    <t>ĐÃ CÓ</t>
  </si>
  <si>
    <t>Ghi chú</t>
  </si>
  <si>
    <t xml:space="preserve">ĐÃ CÓ
</t>
  </si>
  <si>
    <t>CÓ THÊM BẢN PHÂN TÍCH SPF</t>
  </si>
  <si>
    <t>Serum</t>
  </si>
  <si>
    <t>KN-HSL/030/026/Noe</t>
  </si>
  <si>
    <t>030</t>
  </si>
  <si>
    <t>Kem face</t>
  </si>
  <si>
    <t>120126</t>
  </si>
  <si>
    <t>Số công bố</t>
  </si>
  <si>
    <t>FKFC001AP</t>
  </si>
  <si>
    <t>FKCN003AP</t>
  </si>
  <si>
    <t>BKBD001AP</t>
  </si>
  <si>
    <t>130126</t>
  </si>
  <si>
    <t>KN-HSL/031/026/SkinbyVita</t>
  </si>
  <si>
    <t>KN-HSL/032/026/SkinbyVita</t>
  </si>
  <si>
    <t>031</t>
  </si>
  <si>
    <t>032</t>
  </si>
  <si>
    <t>033</t>
  </si>
  <si>
    <t>KN-HSL/033/026/ClmenStore</t>
  </si>
  <si>
    <t>HSSS001AP</t>
  </si>
  <si>
    <t>CÓ PHIẾU GỬI MẪU</t>
  </si>
  <si>
    <t>FNTT01AP</t>
  </si>
  <si>
    <t>Dì Hằng_ VL hiện tại đang lưu:
- MOISTURIZING LIP STICK
 - LIP GLOSS
 - LIQUID LIPSTICK
 - HA + WHITENING SERUM</t>
  </si>
  <si>
    <t>140725</t>
  </si>
  <si>
    <t xml:space="preserve">Serum </t>
  </si>
  <si>
    <t>DAY &amp; NIGHT BRIGHTENING SERUM</t>
  </si>
  <si>
    <t>601/26/CBMP_TN</t>
  </si>
  <si>
    <t>CÔNG TY TNHH NOÉ SKINCARE</t>
  </si>
  <si>
    <t>HA+ WHITENING SERUM</t>
  </si>
  <si>
    <t>600/26/CBMP_TN</t>
  </si>
  <si>
    <t>Quang Nguyễn (Quỳnh Anh)</t>
  </si>
  <si>
    <t>DR CORI</t>
  </si>
  <si>
    <t>ACNE CLEARING SERUM</t>
  </si>
  <si>
    <t>599/26/CBMP_TN</t>
  </si>
  <si>
    <t>CÔNG TY TNHH ĐẦU TƯ THƯƠNG MẠI VÀ DỊCH VỤ QUANG NGUYỄN</t>
  </si>
  <si>
    <t>FSRU002AP</t>
  </si>
  <si>
    <t>FSRU001</t>
  </si>
  <si>
    <t>FSRU001AP</t>
  </si>
  <si>
    <t>KN-HSL/034/026/D-C</t>
  </si>
  <si>
    <t>KN-HSL/035/026/DRCORI</t>
  </si>
  <si>
    <t>KN-HSL/036/026/Noe</t>
  </si>
  <si>
    <t>034</t>
  </si>
  <si>
    <t>035</t>
  </si>
  <si>
    <t>036</t>
  </si>
  <si>
    <t>FOAM CLEANSER</t>
  </si>
  <si>
    <t>364/26/CBMP_TN</t>
  </si>
  <si>
    <t>Hồng Huệ</t>
  </si>
  <si>
    <t>LILY'S WHITE</t>
  </si>
  <si>
    <t>KEM DƯỠNG TRẮNG DA</t>
  </si>
  <si>
    <t>247/26/CBMP_TN</t>
  </si>
  <si>
    <t>CÔNG TY TNHH MTV HÓA MỸ PHẨM HỒNG HUỆ</t>
  </si>
  <si>
    <t>KEM MỤN</t>
  </si>
  <si>
    <t>248/26/CBMP_TN</t>
  </si>
  <si>
    <t>Kem tắm trắng dưỡng da</t>
  </si>
  <si>
    <t>KEM TẮM TRẮNG DƯỠNG DA</t>
  </si>
  <si>
    <t>249/26/CBMP_TN</t>
  </si>
  <si>
    <t>CHƯA SẢN XUẤT</t>
  </si>
  <si>
    <t>BẢNG THEO DÕI SỐ LÔ CẤP &amp; MÃ HỒ SƠ - NĂM 2025</t>
  </si>
  <si>
    <t>BẢNG THEO DÕI SỐ LÔ CẤP &amp; MÃ HỒ SƠ -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</si>
</sst>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 x14ac:knownFonts="1">
    <font>
      <sz val="11"/>
      <color theme="1"/>
      <name val="Calibri"/>
      <family val="2"/>
      <scheme val="minor"/>
    </font>
    <font>
      <b/>
      <sz val="13"/>
      <color theme="1"/>
      <name val="Cambria"/>
      <family val="1"/>
    </font>
    <font>
      <b/>
      <sz val="26"/>
      <color theme="1"/>
      <name val="Cambria"/>
      <family val="1"/>
    </font>
    <font>
      <sz val="13"/>
      <color theme="1"/>
      <name val="Cambria"/>
      <family val="1"/>
    </font>
    <font>
      <sz val="8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0"/>
      <name val="Cambria"/>
      <family val="1"/>
    </font>
    <font>
      <b/>
      <sz val="12"/>
      <color theme="1"/>
      <name val="Cambria"/>
      <family val="1"/>
    </font>
    <font>
      <b/>
      <sz val="13"/>
      <name val="Cambria"/>
      <family val="1"/>
    </font>
    <font>
      <sz val="12"/>
      <color rgb="FFFF0000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theme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mbria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mbria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mbria"/>
        <family val="1"/>
        <scheme val="none"/>
      </font>
      <numFmt numFmtId="164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mbria"/>
        <family val="1"/>
        <scheme val="none"/>
      </font>
      <numFmt numFmtId="164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mbria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mbria"/>
        <family val="1"/>
        <scheme val="none"/>
      </font>
      <fill>
        <patternFill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mbria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mbria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mbria"/>
        <family val="1"/>
        <scheme val="none"/>
      </font>
      <numFmt numFmtId="164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mbria"/>
        <family val="1"/>
        <scheme val="none"/>
      </font>
      <numFmt numFmtId="164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mbria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mbria"/>
        <family val="1"/>
        <scheme val="none"/>
      </font>
      <fill>
        <patternFill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433658</xdr:colOff>
      <xdr:row>100</xdr:row>
      <xdr:rowOff>216829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ADC2EB-091D-4C25-87FF-0DE52845D220}"/>
            </a:ext>
          </a:extLst>
        </xdr:cNvPr>
        <xdr:cNvSpPr txBox="1"/>
      </xdr:nvSpPr>
      <xdr:spPr>
        <a:xfrm>
          <a:off x="20149634" y="32524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433658</xdr:colOff>
      <xdr:row>102</xdr:row>
      <xdr:rowOff>216829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D6D277C-7139-40DF-9BB5-8AE4604CAA67}"/>
            </a:ext>
          </a:extLst>
        </xdr:cNvPr>
        <xdr:cNvSpPr txBox="1"/>
      </xdr:nvSpPr>
      <xdr:spPr>
        <a:xfrm>
          <a:off x="18474008" y="988259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7CAA24-4140-4575-999D-564FEE7A5519}" name="Table1" displayName="Table1" ref="G2:N22" totalsRowShown="0" headerRowDxfId="23" headerRowBorderDxfId="22" tableBorderDxfId="21" totalsRowBorderDxfId="20">
  <autoFilter ref="G2:N22" xr:uid="{8C7CAA24-4140-4575-999D-564FEE7A5519}"/>
  <tableColumns count="8">
    <tableColumn id="1" xr3:uid="{5199627B-5BB9-47DE-AA92-A2C8A0E1D0C2}" name="Tên công bố" dataDxfId="19"/>
    <tableColumn id="2" xr3:uid="{16C18A38-9067-4800-87EF-059D8274DA24}" name="Số Công bố" dataDxfId="18"/>
    <tableColumn id="3" xr3:uid="{55511455-C73E-4DD4-9887-7D51F85421A2}" name="Ngày hiệu lực" dataDxfId="17"/>
    <tableColumn id="4" xr3:uid="{644024E0-AD21-4113-BC3B-EA18CFEE7C4E}" name="Ngày hết hạn" dataDxfId="16"/>
    <tableColumn id="5" xr3:uid="{E46198D2-8448-4E2F-A641-2DD2288602EE}" name="Mã sản phẩm" dataDxfId="15"/>
    <tableColumn id="6" xr3:uid="{2F45A0ED-F35D-4A76-A0F6-6D256FEE721E}" name="Mã Hồ sơ lô" dataDxfId="14"/>
    <tableColumn id="7" xr3:uid="{295C1190-8212-4BEC-9B82-91C037071E02}" name="Số lô" dataDxfId="13"/>
    <tableColumn id="8" xr3:uid="{8A79B488-4999-4FEF-B57A-D226BE9DFCF2}" name="Mã Hồ sơ" dataDxfId="1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CD1827-AC1D-44ED-A8FB-CABE439A484F}" name="Table13" displayName="Table13" ref="G2:N23" totalsRowShown="0" headerRowDxfId="11" headerRowBorderDxfId="10" tableBorderDxfId="9" totalsRowBorderDxfId="8">
  <autoFilter ref="G2:N23" xr:uid="{A7CD1827-AC1D-44ED-A8FB-CABE439A484F}"/>
  <tableColumns count="8">
    <tableColumn id="1" xr3:uid="{128A703E-9995-4087-87C7-89FC893FBF7E}" name="Tên công bố" dataDxfId="7"/>
    <tableColumn id="2" xr3:uid="{3A33FD34-FADF-477F-8AC5-A72CD86DDC95}" name="Số Công bố" dataDxfId="6"/>
    <tableColumn id="3" xr3:uid="{4E47B004-1879-448D-A23A-D650A829B6F5}" name="Ngày hiệu lực" dataDxfId="5"/>
    <tableColumn id="4" xr3:uid="{62C61132-0782-442D-9E13-C4BBEF179837}" name="Ngày hết hạn" dataDxfId="4"/>
    <tableColumn id="5" xr3:uid="{2F45FE21-AC30-4D92-A62F-17C23412639E}" name="Mã sản phẩm" dataDxfId="3"/>
    <tableColumn id="6" xr3:uid="{11B7BC5F-340C-46A9-B8B3-ED1E6EE0EA7B}" name="Mã Hồ sơ lô" dataDxfId="2"/>
    <tableColumn id="7" xr3:uid="{39DC58CE-A6A9-4819-8A92-04606105FB83}" name="Số lô" dataDxfId="1"/>
    <tableColumn id="8" xr3:uid="{4E0133FB-927B-4D72-B9DC-C09506DF186A}" name="Mã Hồ sơ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0A7E7-3476-4A5A-826D-C19F260C073B}">
  <sheetPr>
    <tabColor theme="7" tint="0.39997558519241921"/>
  </sheetPr>
  <dimension ref="B1:N198"/>
  <sheetViews>
    <sheetView showGridLines="0" zoomScale="62" zoomScaleNormal="62" zoomScalePageLayoutView="51" workbookViewId="0">
      <pane ySplit="2" topLeftCell="A3" activePane="bottomLeft" state="frozen"/>
      <selection pane="bottomLeft" activeCell="K3" sqref="K3"/>
    </sheetView>
  </sheetViews>
  <sheetFormatPr defaultRowHeight="60" customHeight="1" x14ac:dyDescent="0.35"/>
  <cols>
    <col min="2" max="2" width="8.1796875" customWidth="1"/>
    <col min="3" max="3" width="29.7265625" style="7" customWidth="1"/>
    <col min="4" max="4" width="41.6328125" customWidth="1"/>
    <col min="5" max="6" width="30.6328125" customWidth="1"/>
    <col min="7" max="7" width="36.1796875" customWidth="1"/>
    <col min="8" max="8" width="25.6328125" customWidth="1"/>
    <col min="9" max="11" width="15.6328125" customWidth="1"/>
    <col min="12" max="12" width="42.08984375" customWidth="1"/>
    <col min="13" max="13" width="12.81640625" customWidth="1"/>
    <col min="14" max="14" width="14.6328125" customWidth="1"/>
  </cols>
  <sheetData>
    <row r="1" spans="2:14" ht="60" customHeight="1" x14ac:dyDescent="0.35">
      <c r="B1" s="64" t="s">
        <v>303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6"/>
    </row>
    <row r="2" spans="2:14" s="7" customFormat="1" ht="58.5" customHeight="1" x14ac:dyDescent="0.35">
      <c r="B2" s="49" t="s">
        <v>0</v>
      </c>
      <c r="C2" s="49" t="s">
        <v>1</v>
      </c>
      <c r="D2" s="49" t="s">
        <v>4</v>
      </c>
      <c r="E2" s="49" t="s">
        <v>2</v>
      </c>
      <c r="F2" s="49" t="s">
        <v>3</v>
      </c>
      <c r="G2" s="50" t="s">
        <v>5</v>
      </c>
      <c r="H2" s="50" t="s">
        <v>6</v>
      </c>
      <c r="I2" s="50" t="s">
        <v>7</v>
      </c>
      <c r="J2" s="50" t="s">
        <v>8</v>
      </c>
      <c r="K2" s="50" t="s">
        <v>9</v>
      </c>
      <c r="L2" s="50" t="s">
        <v>10</v>
      </c>
      <c r="M2" s="50" t="s">
        <v>11</v>
      </c>
      <c r="N2" s="50" t="s">
        <v>12</v>
      </c>
    </row>
    <row r="3" spans="2:14" ht="60" customHeight="1" x14ac:dyDescent="0.35">
      <c r="B3" s="8">
        <v>1</v>
      </c>
      <c r="C3" s="12" t="s">
        <v>13</v>
      </c>
      <c r="D3" s="17" t="s">
        <v>14</v>
      </c>
      <c r="E3" s="17" t="s">
        <v>15</v>
      </c>
      <c r="F3" s="9" t="s">
        <v>16</v>
      </c>
      <c r="G3" s="9" t="s">
        <v>17</v>
      </c>
      <c r="H3" s="8" t="s">
        <v>18</v>
      </c>
      <c r="I3" s="10">
        <f>DATE(2025,6,19)</f>
        <v>45827</v>
      </c>
      <c r="J3" s="10">
        <f>EDATE(Table1[[#This Row],[Ngày hiệu lực]],5*12)</f>
        <v>47653</v>
      </c>
      <c r="K3" s="8" t="s">
        <v>19</v>
      </c>
      <c r="L3" s="9" t="s">
        <v>20</v>
      </c>
      <c r="M3" s="11" t="s">
        <v>269</v>
      </c>
      <c r="N3" s="11" t="s">
        <v>21</v>
      </c>
    </row>
    <row r="4" spans="2:14" ht="60" customHeight="1" x14ac:dyDescent="0.35">
      <c r="B4" s="8">
        <v>2</v>
      </c>
      <c r="C4" s="12" t="s">
        <v>13</v>
      </c>
      <c r="D4" s="17" t="s">
        <v>14</v>
      </c>
      <c r="E4" s="17" t="s">
        <v>15</v>
      </c>
      <c r="F4" s="9" t="s">
        <v>22</v>
      </c>
      <c r="G4" s="9" t="s">
        <v>23</v>
      </c>
      <c r="H4" s="8" t="s">
        <v>24</v>
      </c>
      <c r="I4" s="10">
        <f>DATE(2025,6,19)</f>
        <v>45827</v>
      </c>
      <c r="J4" s="10">
        <f>EDATE(Table1[[#This Row],[Ngày hiệu lực]],5*12)</f>
        <v>47653</v>
      </c>
      <c r="K4" s="8" t="s">
        <v>25</v>
      </c>
      <c r="L4" s="9" t="s">
        <v>26</v>
      </c>
      <c r="M4" s="11" t="s">
        <v>269</v>
      </c>
      <c r="N4" s="11" t="s">
        <v>27</v>
      </c>
    </row>
    <row r="5" spans="2:14" ht="60" customHeight="1" x14ac:dyDescent="0.35">
      <c r="B5" s="8">
        <v>3</v>
      </c>
      <c r="C5" s="12" t="s">
        <v>13</v>
      </c>
      <c r="D5" s="17" t="s">
        <v>14</v>
      </c>
      <c r="E5" s="17" t="s">
        <v>15</v>
      </c>
      <c r="F5" s="9" t="s">
        <v>28</v>
      </c>
      <c r="G5" s="9" t="s">
        <v>29</v>
      </c>
      <c r="H5" s="8" t="s">
        <v>30</v>
      </c>
      <c r="I5" s="10">
        <f>DATE(2025,6,19)</f>
        <v>45827</v>
      </c>
      <c r="J5" s="10">
        <f>EDATE(Table1[[#This Row],[Ngày hiệu lực]],5*12)</f>
        <v>47653</v>
      </c>
      <c r="K5" s="8" t="s">
        <v>31</v>
      </c>
      <c r="L5" s="9" t="s">
        <v>32</v>
      </c>
      <c r="M5" s="11" t="s">
        <v>269</v>
      </c>
      <c r="N5" s="11" t="s">
        <v>33</v>
      </c>
    </row>
    <row r="6" spans="2:14" ht="60" customHeight="1" x14ac:dyDescent="0.35">
      <c r="B6" s="8">
        <v>4</v>
      </c>
      <c r="C6" s="12" t="s">
        <v>34</v>
      </c>
      <c r="D6" s="17" t="s">
        <v>35</v>
      </c>
      <c r="E6" s="17" t="s">
        <v>36</v>
      </c>
      <c r="F6" s="9" t="s">
        <v>37</v>
      </c>
      <c r="G6" s="14" t="s">
        <v>38</v>
      </c>
      <c r="H6" s="8" t="s">
        <v>39</v>
      </c>
      <c r="I6" s="10">
        <f>DATE(2025,6,27)</f>
        <v>45835</v>
      </c>
      <c r="J6" s="10">
        <f>EDATE(Table1[[#This Row],[Ngày hiệu lực]],5*12)</f>
        <v>47661</v>
      </c>
      <c r="K6" s="8" t="s">
        <v>40</v>
      </c>
      <c r="L6" s="9" t="s">
        <v>41</v>
      </c>
      <c r="M6" s="11" t="s">
        <v>42</v>
      </c>
      <c r="N6" s="16" t="s">
        <v>43</v>
      </c>
    </row>
    <row r="7" spans="2:14" ht="60" customHeight="1" x14ac:dyDescent="0.35">
      <c r="B7" s="8">
        <v>5</v>
      </c>
      <c r="C7" s="12" t="s">
        <v>34</v>
      </c>
      <c r="D7" s="17" t="s">
        <v>35</v>
      </c>
      <c r="E7" s="17" t="s">
        <v>36</v>
      </c>
      <c r="F7" s="9" t="s">
        <v>44</v>
      </c>
      <c r="G7" s="14" t="s">
        <v>45</v>
      </c>
      <c r="H7" s="8" t="s">
        <v>46</v>
      </c>
      <c r="I7" s="10">
        <f>DATE(2025,6,27)</f>
        <v>45835</v>
      </c>
      <c r="J7" s="10">
        <f>EDATE(Table1[[#This Row],[Ngày hiệu lực]],5*12)</f>
        <v>47661</v>
      </c>
      <c r="K7" s="8" t="s">
        <v>47</v>
      </c>
      <c r="L7" s="9" t="s">
        <v>48</v>
      </c>
      <c r="M7" s="11">
        <v>300625</v>
      </c>
      <c r="N7" s="16" t="s">
        <v>49</v>
      </c>
    </row>
    <row r="8" spans="2:14" ht="60" customHeight="1" x14ac:dyDescent="0.35">
      <c r="B8" s="8">
        <v>6</v>
      </c>
      <c r="C8" s="12" t="s">
        <v>34</v>
      </c>
      <c r="D8" s="17" t="s">
        <v>35</v>
      </c>
      <c r="E8" s="17" t="s">
        <v>36</v>
      </c>
      <c r="F8" s="9" t="s">
        <v>50</v>
      </c>
      <c r="G8" s="14" t="s">
        <v>51</v>
      </c>
      <c r="H8" s="8" t="s">
        <v>52</v>
      </c>
      <c r="I8" s="10">
        <f>DATE(2025,6,27)</f>
        <v>45835</v>
      </c>
      <c r="J8" s="10">
        <f>EDATE(Table1[[#This Row],[Ngày hiệu lực]],5*12)</f>
        <v>47661</v>
      </c>
      <c r="K8" s="8" t="s">
        <v>53</v>
      </c>
      <c r="L8" s="9" t="s">
        <v>54</v>
      </c>
      <c r="M8" s="11">
        <v>300625</v>
      </c>
      <c r="N8" s="16" t="s">
        <v>55</v>
      </c>
    </row>
    <row r="9" spans="2:14" ht="60" customHeight="1" x14ac:dyDescent="0.35">
      <c r="B9" s="8">
        <v>7</v>
      </c>
      <c r="C9" s="12" t="s">
        <v>34</v>
      </c>
      <c r="D9" s="17" t="s">
        <v>35</v>
      </c>
      <c r="E9" s="17" t="s">
        <v>36</v>
      </c>
      <c r="F9" s="9" t="s">
        <v>56</v>
      </c>
      <c r="G9" s="14" t="s">
        <v>57</v>
      </c>
      <c r="H9" s="8" t="s">
        <v>58</v>
      </c>
      <c r="I9" s="10">
        <f>DATE(2025,9,15)</f>
        <v>45915</v>
      </c>
      <c r="J9" s="10">
        <f>EDATE(Table1[[#This Row],[Ngày hiệu lực]],5*12)</f>
        <v>47741</v>
      </c>
      <c r="K9" s="8" t="s">
        <v>59</v>
      </c>
      <c r="L9" s="9" t="s">
        <v>60</v>
      </c>
      <c r="M9" s="11" t="s">
        <v>61</v>
      </c>
      <c r="N9" s="16" t="s">
        <v>62</v>
      </c>
    </row>
    <row r="10" spans="2:14" ht="60" customHeight="1" x14ac:dyDescent="0.35">
      <c r="B10" s="8">
        <v>8</v>
      </c>
      <c r="C10" s="8" t="s">
        <v>63</v>
      </c>
      <c r="D10" s="9" t="s">
        <v>64</v>
      </c>
      <c r="E10" s="9" t="s">
        <v>65</v>
      </c>
      <c r="F10" s="9" t="s">
        <v>66</v>
      </c>
      <c r="G10" s="14" t="s">
        <v>67</v>
      </c>
      <c r="H10" s="8" t="s">
        <v>68</v>
      </c>
      <c r="I10" s="10">
        <f>DATE(2025,9,18)</f>
        <v>45918</v>
      </c>
      <c r="J10" s="10">
        <f>EDATE(Table1[[#This Row],[Ngày hiệu lực]],5*12)</f>
        <v>47744</v>
      </c>
      <c r="K10" s="8" t="s">
        <v>69</v>
      </c>
      <c r="L10" s="9" t="s">
        <v>70</v>
      </c>
      <c r="M10" s="11" t="s">
        <v>71</v>
      </c>
      <c r="N10" s="16" t="s">
        <v>72</v>
      </c>
    </row>
    <row r="11" spans="2:14" ht="60" customHeight="1" x14ac:dyDescent="0.35">
      <c r="B11" s="8">
        <v>9</v>
      </c>
      <c r="C11" s="12" t="s">
        <v>73</v>
      </c>
      <c r="D11" s="17" t="s">
        <v>74</v>
      </c>
      <c r="E11" s="17" t="s">
        <v>75</v>
      </c>
      <c r="F11" s="9" t="s">
        <v>76</v>
      </c>
      <c r="G11" s="14" t="s">
        <v>77</v>
      </c>
      <c r="H11" s="8" t="s">
        <v>78</v>
      </c>
      <c r="I11" s="10">
        <f>DATE(2025,9,18)</f>
        <v>45918</v>
      </c>
      <c r="J11" s="10">
        <f>EDATE(Table1[[#This Row],[Ngày hiệu lực]],5*12)</f>
        <v>47744</v>
      </c>
      <c r="K11" s="8" t="s">
        <v>79</v>
      </c>
      <c r="L11" s="9" t="s">
        <v>80</v>
      </c>
      <c r="M11" s="11" t="s">
        <v>81</v>
      </c>
      <c r="N11" s="16" t="s">
        <v>82</v>
      </c>
    </row>
    <row r="12" spans="2:14" ht="60" customHeight="1" x14ac:dyDescent="0.35">
      <c r="B12" s="8">
        <v>10</v>
      </c>
      <c r="C12" s="12" t="s">
        <v>73</v>
      </c>
      <c r="D12" s="17" t="s">
        <v>74</v>
      </c>
      <c r="E12" s="17" t="s">
        <v>75</v>
      </c>
      <c r="F12" s="9" t="s">
        <v>16</v>
      </c>
      <c r="G12" s="14" t="s">
        <v>83</v>
      </c>
      <c r="H12" s="8" t="s">
        <v>84</v>
      </c>
      <c r="I12" s="10">
        <f>DATE(2025,9,18)</f>
        <v>45918</v>
      </c>
      <c r="J12" s="10">
        <f>EDATE(Table1[[#This Row],[Ngày hiệu lực]],5*12)</f>
        <v>47744</v>
      </c>
      <c r="K12" s="8" t="s">
        <v>85</v>
      </c>
      <c r="L12" s="9" t="s">
        <v>86</v>
      </c>
      <c r="M12" s="11" t="s">
        <v>81</v>
      </c>
      <c r="N12" s="16" t="s">
        <v>87</v>
      </c>
    </row>
    <row r="13" spans="2:14" ht="60" customHeight="1" x14ac:dyDescent="0.35">
      <c r="B13" s="8">
        <v>11</v>
      </c>
      <c r="C13" s="12" t="s">
        <v>88</v>
      </c>
      <c r="D13" s="17" t="s">
        <v>89</v>
      </c>
      <c r="E13" s="17" t="s">
        <v>90</v>
      </c>
      <c r="F13" s="9" t="s">
        <v>148</v>
      </c>
      <c r="G13" s="14" t="s">
        <v>91</v>
      </c>
      <c r="H13" s="8" t="s">
        <v>92</v>
      </c>
      <c r="I13" s="10">
        <f>DATE(2025,10,16)</f>
        <v>45946</v>
      </c>
      <c r="J13" s="10">
        <f>EDATE(Table1[[#This Row],[Ngày hiệu lực]],5*12)</f>
        <v>47772</v>
      </c>
      <c r="K13" s="8" t="s">
        <v>93</v>
      </c>
      <c r="L13" s="9" t="s">
        <v>94</v>
      </c>
      <c r="M13" s="11">
        <v>101125</v>
      </c>
      <c r="N13" s="16" t="s">
        <v>95</v>
      </c>
    </row>
    <row r="14" spans="2:14" ht="60" customHeight="1" x14ac:dyDescent="0.35">
      <c r="B14" s="8">
        <v>12</v>
      </c>
      <c r="C14" s="12" t="s">
        <v>88</v>
      </c>
      <c r="D14" s="17" t="s">
        <v>89</v>
      </c>
      <c r="E14" s="17" t="s">
        <v>90</v>
      </c>
      <c r="F14" s="9" t="s">
        <v>147</v>
      </c>
      <c r="G14" s="14" t="s">
        <v>96</v>
      </c>
      <c r="H14" s="8" t="s">
        <v>92</v>
      </c>
      <c r="I14" s="10">
        <f>DATE(2025,10,16)</f>
        <v>45946</v>
      </c>
      <c r="J14" s="10">
        <f>EDATE(Table1[[#This Row],[Ngày hiệu lực]],5*12)</f>
        <v>47772</v>
      </c>
      <c r="K14" s="8" t="s">
        <v>97</v>
      </c>
      <c r="L14" s="9" t="s">
        <v>98</v>
      </c>
      <c r="M14" s="11">
        <v>101125</v>
      </c>
      <c r="N14" s="16" t="s">
        <v>99</v>
      </c>
    </row>
    <row r="15" spans="2:14" ht="60" customHeight="1" x14ac:dyDescent="0.35">
      <c r="B15" s="8">
        <v>13</v>
      </c>
      <c r="C15" s="12" t="s">
        <v>88</v>
      </c>
      <c r="D15" s="17" t="s">
        <v>89</v>
      </c>
      <c r="E15" s="17" t="s">
        <v>90</v>
      </c>
      <c r="F15" s="9" t="s">
        <v>149</v>
      </c>
      <c r="G15" s="14" t="s">
        <v>100</v>
      </c>
      <c r="H15" s="8" t="s">
        <v>92</v>
      </c>
      <c r="I15" s="10">
        <f t="shared" ref="I15:I18" si="0">DATE(2025,10,16)</f>
        <v>45946</v>
      </c>
      <c r="J15" s="10">
        <f>EDATE(Table1[[#This Row],[Ngày hiệu lực]],5*12)</f>
        <v>47772</v>
      </c>
      <c r="K15" s="8" t="s">
        <v>101</v>
      </c>
      <c r="L15" s="9" t="s">
        <v>102</v>
      </c>
      <c r="M15" s="11">
        <v>101125</v>
      </c>
      <c r="N15" s="16" t="s">
        <v>103</v>
      </c>
    </row>
    <row r="16" spans="2:14" ht="60" customHeight="1" x14ac:dyDescent="0.35">
      <c r="B16" s="8">
        <v>14</v>
      </c>
      <c r="C16" s="12" t="s">
        <v>88</v>
      </c>
      <c r="D16" s="17" t="s">
        <v>89</v>
      </c>
      <c r="E16" s="17" t="s">
        <v>90</v>
      </c>
      <c r="F16" s="9" t="s">
        <v>150</v>
      </c>
      <c r="G16" s="14" t="s">
        <v>104</v>
      </c>
      <c r="H16" s="8" t="s">
        <v>92</v>
      </c>
      <c r="I16" s="10">
        <f t="shared" si="0"/>
        <v>45946</v>
      </c>
      <c r="J16" s="10">
        <f>EDATE(Table1[[#This Row],[Ngày hiệu lực]],5*12)</f>
        <v>47772</v>
      </c>
      <c r="K16" s="8" t="s">
        <v>105</v>
      </c>
      <c r="L16" s="9" t="s">
        <v>106</v>
      </c>
      <c r="M16" s="11">
        <v>101125</v>
      </c>
      <c r="N16" s="16" t="s">
        <v>107</v>
      </c>
    </row>
    <row r="17" spans="2:14" ht="60" customHeight="1" x14ac:dyDescent="0.35">
      <c r="B17" s="8">
        <v>15</v>
      </c>
      <c r="C17" s="12" t="s">
        <v>88</v>
      </c>
      <c r="D17" s="17" t="s">
        <v>89</v>
      </c>
      <c r="E17" s="17" t="s">
        <v>90</v>
      </c>
      <c r="F17" s="9" t="s">
        <v>151</v>
      </c>
      <c r="G17" s="14" t="s">
        <v>108</v>
      </c>
      <c r="H17" s="8" t="s">
        <v>92</v>
      </c>
      <c r="I17" s="10">
        <f t="shared" si="0"/>
        <v>45946</v>
      </c>
      <c r="J17" s="10">
        <f>EDATE(Table1[[#This Row],[Ngày hiệu lực]],5*12)</f>
        <v>47772</v>
      </c>
      <c r="K17" s="8" t="s">
        <v>109</v>
      </c>
      <c r="L17" s="9" t="s">
        <v>110</v>
      </c>
      <c r="M17" s="11">
        <v>101125</v>
      </c>
      <c r="N17" s="16" t="s">
        <v>111</v>
      </c>
    </row>
    <row r="18" spans="2:14" ht="60" customHeight="1" x14ac:dyDescent="0.35">
      <c r="B18" s="8">
        <v>16</v>
      </c>
      <c r="C18" s="12" t="s">
        <v>88</v>
      </c>
      <c r="D18" s="17" t="s">
        <v>89</v>
      </c>
      <c r="E18" s="17" t="s">
        <v>90</v>
      </c>
      <c r="F18" s="9" t="s">
        <v>152</v>
      </c>
      <c r="G18" s="14" t="s">
        <v>112</v>
      </c>
      <c r="H18" s="8" t="s">
        <v>92</v>
      </c>
      <c r="I18" s="10">
        <f t="shared" si="0"/>
        <v>45946</v>
      </c>
      <c r="J18" s="10">
        <f>EDATE(Table1[[#This Row],[Ngày hiệu lực]],5*12)</f>
        <v>47772</v>
      </c>
      <c r="K18" s="8" t="s">
        <v>113</v>
      </c>
      <c r="L18" s="9" t="s">
        <v>114</v>
      </c>
      <c r="M18" s="11">
        <v>101125</v>
      </c>
      <c r="N18" s="16" t="s">
        <v>115</v>
      </c>
    </row>
    <row r="19" spans="2:14" ht="60" customHeight="1" x14ac:dyDescent="0.35">
      <c r="B19" s="8">
        <v>17</v>
      </c>
      <c r="C19" s="8" t="s">
        <v>116</v>
      </c>
      <c r="D19" s="9" t="s">
        <v>117</v>
      </c>
      <c r="E19" s="9" t="s">
        <v>118</v>
      </c>
      <c r="F19" s="9" t="s">
        <v>119</v>
      </c>
      <c r="G19" s="14" t="s">
        <v>120</v>
      </c>
      <c r="H19" s="8" t="s">
        <v>121</v>
      </c>
      <c r="I19" s="10">
        <f>DATE(2025,9,15)</f>
        <v>45915</v>
      </c>
      <c r="J19" s="10">
        <f>EDATE(Table1[[#This Row],[Ngày hiệu lực]],5*12)</f>
        <v>47741</v>
      </c>
      <c r="K19" s="8" t="s">
        <v>122</v>
      </c>
      <c r="L19" s="9" t="s">
        <v>123</v>
      </c>
      <c r="M19" s="11">
        <v>111125</v>
      </c>
      <c r="N19" s="16" t="s">
        <v>124</v>
      </c>
    </row>
    <row r="20" spans="2:14" ht="33" x14ac:dyDescent="0.35">
      <c r="B20" s="8">
        <v>18</v>
      </c>
      <c r="C20" s="8" t="s">
        <v>125</v>
      </c>
      <c r="D20" s="9" t="s">
        <v>126</v>
      </c>
      <c r="E20" s="9" t="s">
        <v>127</v>
      </c>
      <c r="F20" s="9" t="s">
        <v>157</v>
      </c>
      <c r="G20" s="14" t="s">
        <v>128</v>
      </c>
      <c r="H20" s="8" t="s">
        <v>129</v>
      </c>
      <c r="I20" s="10">
        <f>DATE(2025,10,25)</f>
        <v>45955</v>
      </c>
      <c r="J20" s="10">
        <f>EDATE(Table1[[#This Row],[Ngày hiệu lực]],5*12)</f>
        <v>47781</v>
      </c>
      <c r="K20" s="8" t="s">
        <v>156</v>
      </c>
      <c r="L20" s="9" t="s">
        <v>154</v>
      </c>
      <c r="M20" s="11" t="s">
        <v>153</v>
      </c>
      <c r="N20" s="16" t="s">
        <v>155</v>
      </c>
    </row>
    <row r="21" spans="2:14" ht="33" x14ac:dyDescent="0.35">
      <c r="B21" s="8">
        <v>19</v>
      </c>
      <c r="C21" s="12" t="s">
        <v>165</v>
      </c>
      <c r="D21" s="17" t="s">
        <v>167</v>
      </c>
      <c r="E21" s="17" t="s">
        <v>173</v>
      </c>
      <c r="F21" s="9" t="s">
        <v>28</v>
      </c>
      <c r="G21" s="14" t="s">
        <v>168</v>
      </c>
      <c r="H21" s="8" t="s">
        <v>169</v>
      </c>
      <c r="I21" s="10">
        <f>DATE(2025,12,11)</f>
        <v>46002</v>
      </c>
      <c r="J21" s="10">
        <f>EDATE(Table1[[#This Row],[Ngày hiệu lực]],5*12)</f>
        <v>47828</v>
      </c>
      <c r="K21" s="8" t="s">
        <v>174</v>
      </c>
      <c r="L21" s="9" t="s">
        <v>171</v>
      </c>
      <c r="M21" s="11" t="s">
        <v>170</v>
      </c>
      <c r="N21" s="16" t="s">
        <v>172</v>
      </c>
    </row>
    <row r="22" spans="2:14" ht="33" x14ac:dyDescent="0.35">
      <c r="B22" s="8">
        <v>20</v>
      </c>
      <c r="C22" s="8" t="s">
        <v>211</v>
      </c>
      <c r="D22" s="18" t="s">
        <v>200</v>
      </c>
      <c r="E22" s="18" t="s">
        <v>201</v>
      </c>
      <c r="F22" s="9" t="s">
        <v>202</v>
      </c>
      <c r="G22" s="14" t="s">
        <v>203</v>
      </c>
      <c r="H22" s="8" t="s">
        <v>204</v>
      </c>
      <c r="I22" s="10">
        <f>DATE(2025,12,18)</f>
        <v>46009</v>
      </c>
      <c r="J22" s="10">
        <f>EDATE(Table1[[#This Row],[Ngày hiệu lực]],5*12)</f>
        <v>47835</v>
      </c>
      <c r="K22" s="8" t="s">
        <v>210</v>
      </c>
      <c r="L22" s="20" t="s">
        <v>213</v>
      </c>
      <c r="M22" s="21" t="s">
        <v>205</v>
      </c>
      <c r="N22" s="22" t="s">
        <v>206</v>
      </c>
    </row>
    <row r="23" spans="2:14" ht="60" customHeight="1" x14ac:dyDescent="0.35">
      <c r="B23" s="1"/>
      <c r="C23" s="1"/>
      <c r="D23" s="2"/>
      <c r="E23" s="2"/>
      <c r="F23" s="2"/>
      <c r="G23" s="2"/>
      <c r="H23" s="1"/>
      <c r="I23" s="1"/>
      <c r="J23" s="1"/>
      <c r="K23" s="1"/>
      <c r="L23" s="2"/>
      <c r="M23" s="1"/>
      <c r="N23" s="4"/>
    </row>
    <row r="24" spans="2:14" ht="60" customHeight="1" x14ac:dyDescent="0.35">
      <c r="B24" s="1"/>
      <c r="C24" s="1"/>
      <c r="D24" s="2"/>
      <c r="E24" s="2"/>
      <c r="F24" s="2"/>
      <c r="G24" s="2"/>
      <c r="H24" s="1"/>
      <c r="I24" s="3"/>
      <c r="J24" s="3"/>
      <c r="K24" s="1"/>
      <c r="L24" s="6" t="s">
        <v>145</v>
      </c>
      <c r="M24" s="1"/>
      <c r="N24" s="1"/>
    </row>
    <row r="25" spans="2:14" ht="60" customHeight="1" x14ac:dyDescent="0.35">
      <c r="B25" s="1"/>
      <c r="C25" s="1"/>
      <c r="D25" s="2"/>
      <c r="E25" s="2"/>
      <c r="F25" s="2"/>
      <c r="G25" s="2"/>
      <c r="H25" s="1"/>
      <c r="I25" s="3" t="s">
        <v>159</v>
      </c>
      <c r="J25" s="3"/>
      <c r="K25" s="1"/>
      <c r="L25" s="1"/>
      <c r="M25" s="1"/>
      <c r="N25" s="1"/>
    </row>
    <row r="26" spans="2:14" ht="60" customHeight="1" x14ac:dyDescent="0.35">
      <c r="B26" s="1"/>
      <c r="C26" s="1"/>
      <c r="D26" s="2"/>
      <c r="E26" s="2"/>
      <c r="F26" s="2"/>
      <c r="G26" s="2"/>
      <c r="H26" s="1"/>
      <c r="I26" s="3"/>
      <c r="J26" s="3"/>
      <c r="K26" s="1"/>
      <c r="L26" s="6" t="s">
        <v>146</v>
      </c>
      <c r="M26" s="1"/>
      <c r="N26" s="1"/>
    </row>
    <row r="27" spans="2:14" ht="60" customHeight="1" x14ac:dyDescent="0.35">
      <c r="B27" s="1"/>
      <c r="C27" s="1"/>
      <c r="D27" s="2"/>
      <c r="E27" s="2"/>
      <c r="F27" s="2"/>
      <c r="G27" s="2"/>
      <c r="H27" s="1"/>
      <c r="I27" s="3"/>
      <c r="J27" s="3"/>
      <c r="K27" s="1"/>
      <c r="L27" s="1"/>
      <c r="M27" s="1"/>
      <c r="N27" s="4"/>
    </row>
    <row r="28" spans="2:14" ht="60" customHeight="1" x14ac:dyDescent="0.35">
      <c r="B28" s="1"/>
      <c r="C28" s="1"/>
      <c r="D28" s="2"/>
      <c r="E28" s="2"/>
      <c r="F28" s="2"/>
      <c r="G28" s="2"/>
      <c r="H28" s="1"/>
      <c r="I28" s="3"/>
      <c r="J28" s="3"/>
      <c r="K28" s="1"/>
      <c r="L28" s="1"/>
      <c r="M28" s="1"/>
      <c r="N28" s="4"/>
    </row>
    <row r="29" spans="2:14" ht="60" customHeight="1" x14ac:dyDescent="0.35">
      <c r="B29" s="1"/>
      <c r="C29" s="1"/>
      <c r="L29" s="1"/>
      <c r="M29" s="4"/>
      <c r="N29" s="4"/>
    </row>
    <row r="30" spans="2:14" ht="60" customHeight="1" x14ac:dyDescent="0.35">
      <c r="B30" s="1"/>
      <c r="C30" s="1"/>
      <c r="L30" s="1"/>
      <c r="M30" s="4"/>
      <c r="N30" s="4"/>
    </row>
    <row r="31" spans="2:14" ht="60" customHeight="1" x14ac:dyDescent="0.35">
      <c r="B31" s="1"/>
      <c r="C31" s="1"/>
      <c r="L31" s="1"/>
      <c r="M31" s="4"/>
      <c r="N31" s="4"/>
    </row>
    <row r="32" spans="2:14" ht="60" customHeight="1" x14ac:dyDescent="0.35">
      <c r="B32" s="1"/>
      <c r="C32" s="1"/>
      <c r="D32" s="2"/>
      <c r="E32" s="2"/>
      <c r="F32" s="2"/>
      <c r="G32" s="2"/>
      <c r="H32" s="1"/>
      <c r="I32" s="3"/>
      <c r="J32" s="3"/>
      <c r="K32" s="1"/>
      <c r="L32" s="1"/>
      <c r="M32" s="4"/>
      <c r="N32" s="4"/>
    </row>
    <row r="33" spans="2:14" ht="60" customHeight="1" x14ac:dyDescent="0.35">
      <c r="B33" s="1"/>
      <c r="C33" s="1"/>
      <c r="D33" s="2"/>
      <c r="E33" s="2"/>
      <c r="F33" s="2"/>
      <c r="G33" s="2"/>
      <c r="H33" s="1"/>
      <c r="I33" s="3"/>
      <c r="J33" s="3"/>
      <c r="K33" s="1"/>
      <c r="M33" s="4"/>
      <c r="N33" s="4"/>
    </row>
    <row r="34" spans="2:14" ht="60" customHeight="1" x14ac:dyDescent="0.35">
      <c r="B34" s="1"/>
      <c r="C34" s="1"/>
      <c r="D34" s="2"/>
      <c r="E34" s="2"/>
      <c r="F34" s="2"/>
      <c r="G34" s="2"/>
      <c r="H34" s="1"/>
      <c r="I34" s="3"/>
      <c r="J34" s="3"/>
      <c r="K34" s="1"/>
      <c r="M34" s="4"/>
      <c r="N34" s="4"/>
    </row>
    <row r="35" spans="2:14" ht="60" customHeight="1" x14ac:dyDescent="0.35">
      <c r="B35" s="1"/>
      <c r="C35" s="1"/>
      <c r="D35" s="2"/>
      <c r="E35" s="2"/>
      <c r="F35" s="2"/>
      <c r="G35" s="2"/>
      <c r="H35" s="1"/>
      <c r="I35" s="3"/>
      <c r="J35" s="3"/>
      <c r="K35" s="1"/>
      <c r="M35" s="4"/>
      <c r="N35" s="4"/>
    </row>
    <row r="36" spans="2:14" ht="60" customHeight="1" x14ac:dyDescent="0.35">
      <c r="B36" s="1"/>
      <c r="C36" s="1"/>
      <c r="D36" s="2"/>
      <c r="E36" s="2"/>
      <c r="F36" s="2"/>
      <c r="G36" s="2"/>
      <c r="H36" s="1"/>
      <c r="I36" s="3"/>
      <c r="J36" s="3"/>
      <c r="K36" s="1"/>
      <c r="M36" s="4"/>
      <c r="N36" s="4"/>
    </row>
    <row r="37" spans="2:14" ht="60" customHeight="1" x14ac:dyDescent="0.35">
      <c r="B37" s="1"/>
      <c r="C37" s="1"/>
      <c r="D37" s="2"/>
      <c r="E37" s="2"/>
      <c r="F37" s="2"/>
      <c r="G37" s="2"/>
      <c r="H37" s="1"/>
      <c r="I37" s="3"/>
      <c r="J37" s="3"/>
      <c r="K37" s="1"/>
      <c r="M37" s="4"/>
      <c r="N37" s="4"/>
    </row>
    <row r="38" spans="2:14" ht="60" customHeight="1" x14ac:dyDescent="0.35">
      <c r="B38" s="1"/>
      <c r="C38" s="1"/>
      <c r="D38" s="2"/>
      <c r="E38" s="2"/>
      <c r="F38" s="2"/>
      <c r="G38" s="2"/>
      <c r="H38" s="1"/>
      <c r="I38" s="3"/>
      <c r="J38" s="3"/>
      <c r="K38" s="1"/>
      <c r="M38" s="4"/>
      <c r="N38" s="4"/>
    </row>
    <row r="39" spans="2:14" ht="60" customHeight="1" x14ac:dyDescent="0.35">
      <c r="B39" s="1"/>
      <c r="C39" s="1"/>
      <c r="D39" s="2"/>
      <c r="E39" s="2"/>
      <c r="F39" s="2"/>
      <c r="G39" s="2"/>
      <c r="H39" s="1"/>
      <c r="I39" s="3"/>
      <c r="J39" s="3"/>
      <c r="K39" s="1"/>
      <c r="M39" s="4"/>
      <c r="N39" s="4"/>
    </row>
    <row r="40" spans="2:14" ht="60" customHeight="1" x14ac:dyDescent="0.35">
      <c r="B40" s="1"/>
      <c r="C40" s="1"/>
      <c r="D40" s="2"/>
      <c r="E40" s="2"/>
      <c r="F40" s="2"/>
      <c r="G40" s="2"/>
      <c r="H40" s="1"/>
      <c r="I40" s="3"/>
      <c r="J40" s="3"/>
      <c r="K40" s="1"/>
      <c r="M40" s="4"/>
      <c r="N40" s="4"/>
    </row>
    <row r="41" spans="2:14" ht="60" customHeight="1" x14ac:dyDescent="0.35">
      <c r="B41" s="1"/>
      <c r="C41" s="1"/>
      <c r="D41" s="2"/>
      <c r="E41" s="2"/>
      <c r="F41" s="2"/>
      <c r="G41" s="2"/>
      <c r="H41" s="1"/>
      <c r="I41" s="3"/>
      <c r="J41" s="3"/>
      <c r="K41" s="1"/>
      <c r="L41" s="1"/>
      <c r="M41" s="4"/>
      <c r="N41" s="4"/>
    </row>
    <row r="42" spans="2:14" ht="60" customHeight="1" x14ac:dyDescent="0.35">
      <c r="B42" s="1"/>
      <c r="C42" s="1"/>
      <c r="D42" s="2"/>
      <c r="E42" s="2"/>
      <c r="F42" s="2"/>
      <c r="G42" s="2"/>
      <c r="H42" s="1"/>
      <c r="I42" s="3"/>
      <c r="J42" s="3"/>
      <c r="K42" s="1"/>
      <c r="L42" s="1"/>
      <c r="M42" s="4"/>
      <c r="N42" s="4"/>
    </row>
    <row r="43" spans="2:14" ht="60" customHeight="1" x14ac:dyDescent="0.35">
      <c r="B43" s="1"/>
      <c r="C43" s="1"/>
      <c r="D43" s="2"/>
      <c r="E43" s="2"/>
      <c r="F43" s="2"/>
      <c r="G43" s="2"/>
      <c r="H43" s="1"/>
      <c r="I43" s="3"/>
      <c r="J43" s="3"/>
      <c r="K43" s="1"/>
      <c r="L43" s="1"/>
      <c r="M43" s="4"/>
      <c r="N43" s="4"/>
    </row>
    <row r="44" spans="2:14" ht="60" customHeight="1" x14ac:dyDescent="0.35">
      <c r="B44" s="1"/>
      <c r="C44" s="1"/>
      <c r="D44" s="2"/>
      <c r="E44" s="2"/>
      <c r="F44" s="2"/>
      <c r="G44" s="2"/>
      <c r="H44" s="1"/>
      <c r="I44" s="3"/>
      <c r="J44" s="3"/>
      <c r="K44" s="1"/>
      <c r="M44" s="4"/>
      <c r="N44" s="4"/>
    </row>
    <row r="45" spans="2:14" ht="60" customHeight="1" x14ac:dyDescent="0.35">
      <c r="B45" s="1"/>
      <c r="C45" s="1"/>
      <c r="D45" s="2"/>
      <c r="E45" s="2"/>
      <c r="F45" s="2"/>
      <c r="G45" s="2"/>
      <c r="H45" s="1"/>
      <c r="I45" s="3"/>
      <c r="J45" s="3"/>
      <c r="K45" s="1"/>
      <c r="M45" s="4"/>
      <c r="N45" s="4"/>
    </row>
    <row r="46" spans="2:14" ht="60" customHeight="1" x14ac:dyDescent="0.35">
      <c r="B46" s="1"/>
      <c r="C46" s="1"/>
      <c r="D46" s="2"/>
      <c r="E46" s="2"/>
      <c r="F46" s="2"/>
      <c r="G46" s="2"/>
      <c r="H46" s="1"/>
      <c r="I46" s="3"/>
      <c r="J46" s="3"/>
      <c r="K46" s="1"/>
      <c r="M46" s="4"/>
      <c r="N46" s="4"/>
    </row>
    <row r="47" spans="2:14" ht="60" customHeight="1" x14ac:dyDescent="0.35">
      <c r="B47" s="1"/>
      <c r="C47" s="1"/>
      <c r="D47" s="2"/>
      <c r="E47" s="2"/>
      <c r="F47" s="2"/>
      <c r="G47" s="2"/>
      <c r="H47" s="1"/>
      <c r="I47" s="3"/>
      <c r="J47" s="3"/>
      <c r="K47" s="1"/>
      <c r="L47" s="1"/>
      <c r="M47" s="4"/>
      <c r="N47" s="4"/>
    </row>
    <row r="48" spans="2:14" ht="60" customHeight="1" x14ac:dyDescent="0.35">
      <c r="B48" s="1"/>
      <c r="C48" s="1"/>
      <c r="D48" s="2"/>
      <c r="E48" s="2"/>
      <c r="F48" s="2"/>
      <c r="G48" s="2"/>
      <c r="H48" s="1"/>
      <c r="I48" s="3"/>
      <c r="J48" s="3"/>
      <c r="K48" s="1"/>
      <c r="L48" s="1"/>
      <c r="M48" s="1"/>
      <c r="N48" s="4"/>
    </row>
    <row r="49" spans="2:14" ht="60" customHeight="1" x14ac:dyDescent="0.35">
      <c r="B49" s="1"/>
      <c r="C49" s="1"/>
      <c r="D49" s="2"/>
      <c r="E49" s="2"/>
      <c r="F49" s="2"/>
      <c r="G49" s="2"/>
      <c r="H49" s="1"/>
      <c r="I49" s="3"/>
      <c r="J49" s="3"/>
      <c r="K49" s="1"/>
      <c r="L49" s="1"/>
      <c r="M49" s="1"/>
      <c r="N49" s="4"/>
    </row>
    <row r="50" spans="2:14" ht="60" customHeight="1" x14ac:dyDescent="0.35">
      <c r="B50" s="1"/>
      <c r="C50" s="1"/>
      <c r="D50" s="2"/>
      <c r="E50" s="2"/>
      <c r="F50" s="2"/>
      <c r="G50" s="2"/>
      <c r="H50" s="1"/>
      <c r="I50" s="3"/>
      <c r="J50" s="3"/>
      <c r="K50" s="1"/>
      <c r="L50" s="1"/>
      <c r="M50" s="1"/>
      <c r="N50" s="4"/>
    </row>
    <row r="51" spans="2:14" ht="60" customHeight="1" x14ac:dyDescent="0.35">
      <c r="B51" s="1"/>
      <c r="C51" s="1"/>
      <c r="D51" s="1"/>
      <c r="E51" s="1"/>
      <c r="F51" s="1"/>
      <c r="G51" s="1"/>
      <c r="H51" s="1"/>
      <c r="I51" s="3"/>
      <c r="J51" s="3"/>
      <c r="K51" s="1"/>
      <c r="L51" s="1"/>
      <c r="M51" s="1"/>
      <c r="N51" s="4"/>
    </row>
    <row r="52" spans="2:14" ht="60" customHeight="1" x14ac:dyDescent="0.35">
      <c r="B52" s="1"/>
      <c r="C52" s="1"/>
      <c r="D52" s="1"/>
      <c r="E52" s="1"/>
      <c r="F52" s="1"/>
      <c r="G52" s="1"/>
      <c r="H52" s="1"/>
      <c r="I52" s="3"/>
      <c r="J52" s="3"/>
      <c r="K52" s="1"/>
      <c r="L52" s="1"/>
      <c r="M52" s="1"/>
      <c r="N52" s="4"/>
    </row>
    <row r="53" spans="2:14" ht="60" customHeight="1" x14ac:dyDescent="0.35">
      <c r="B53" s="1"/>
      <c r="C53" s="1"/>
      <c r="D53" s="1"/>
      <c r="E53" s="1"/>
      <c r="F53" s="1"/>
      <c r="G53" s="1"/>
      <c r="H53" s="1"/>
      <c r="I53" s="3"/>
      <c r="J53" s="3"/>
      <c r="K53" s="1"/>
      <c r="L53" s="1"/>
      <c r="M53" s="1"/>
      <c r="N53" s="4"/>
    </row>
    <row r="54" spans="2:14" ht="60" customHeight="1" x14ac:dyDescent="0.35">
      <c r="B54" s="1"/>
      <c r="C54" s="1"/>
      <c r="D54" s="1"/>
      <c r="E54" s="1"/>
      <c r="F54" s="1"/>
      <c r="G54" s="1"/>
      <c r="H54" s="1"/>
      <c r="I54" s="3"/>
      <c r="J54" s="3"/>
      <c r="K54" s="1"/>
      <c r="L54" s="1"/>
      <c r="M54" s="1"/>
      <c r="N54" s="4"/>
    </row>
    <row r="55" spans="2:14" ht="60" customHeight="1" x14ac:dyDescent="0.35">
      <c r="B55" s="1"/>
      <c r="C55" s="1"/>
      <c r="D55" s="1"/>
      <c r="E55" s="1"/>
      <c r="F55" s="1"/>
      <c r="G55" s="1"/>
      <c r="H55" s="1"/>
      <c r="I55" s="3"/>
      <c r="J55" s="3"/>
      <c r="K55" s="1"/>
      <c r="L55" s="1"/>
      <c r="M55" s="1"/>
      <c r="N55" s="4"/>
    </row>
    <row r="56" spans="2:14" ht="60" customHeight="1" x14ac:dyDescent="0.35">
      <c r="B56" s="1"/>
      <c r="C56" s="1"/>
      <c r="D56" s="1"/>
      <c r="E56" s="1"/>
      <c r="F56" s="1"/>
      <c r="G56" s="1"/>
      <c r="H56" s="1"/>
      <c r="I56" s="3"/>
      <c r="J56" s="3"/>
      <c r="K56" s="1"/>
      <c r="L56" s="1"/>
      <c r="M56" s="1"/>
      <c r="N56" s="4"/>
    </row>
    <row r="57" spans="2:14" ht="60" customHeight="1" x14ac:dyDescent="0.35">
      <c r="B57" s="1"/>
      <c r="C57" s="1"/>
      <c r="D57" s="1"/>
      <c r="E57" s="1"/>
      <c r="F57" s="1"/>
      <c r="G57" s="1"/>
      <c r="H57" s="1"/>
      <c r="I57" s="3"/>
      <c r="J57" s="3"/>
      <c r="K57" s="1"/>
      <c r="L57" s="1"/>
      <c r="M57" s="1"/>
      <c r="N57" s="4"/>
    </row>
    <row r="58" spans="2:14" ht="60" customHeight="1" x14ac:dyDescent="0.35">
      <c r="B58" s="1"/>
      <c r="C58" s="1"/>
      <c r="D58" s="1"/>
      <c r="E58" s="1"/>
      <c r="F58" s="1"/>
      <c r="G58" s="1"/>
      <c r="H58" s="1"/>
      <c r="I58" s="3"/>
      <c r="J58" s="3"/>
      <c r="K58" s="1"/>
      <c r="L58" s="1"/>
      <c r="M58" s="1"/>
      <c r="N58" s="4"/>
    </row>
    <row r="59" spans="2:14" ht="60" customHeight="1" x14ac:dyDescent="0.35">
      <c r="B59" s="1"/>
      <c r="C59" s="1"/>
      <c r="D59" s="1"/>
      <c r="E59" s="1"/>
      <c r="F59" s="1"/>
      <c r="G59" s="1"/>
      <c r="H59" s="1"/>
      <c r="I59" s="3"/>
      <c r="J59" s="3"/>
      <c r="K59" s="1"/>
      <c r="L59" s="1"/>
      <c r="M59" s="1"/>
      <c r="N59" s="4"/>
    </row>
    <row r="60" spans="2:14" ht="60" customHeight="1" x14ac:dyDescent="0.35">
      <c r="B60" s="1"/>
      <c r="C60" s="1"/>
      <c r="D60" s="1"/>
      <c r="E60" s="1"/>
      <c r="F60" s="1"/>
      <c r="G60" s="1"/>
      <c r="H60" s="1"/>
      <c r="I60" s="3"/>
      <c r="J60" s="3"/>
      <c r="K60" s="1"/>
      <c r="L60" s="1"/>
      <c r="M60" s="1"/>
      <c r="N60" s="4"/>
    </row>
    <row r="61" spans="2:14" ht="60" customHeight="1" x14ac:dyDescent="0.35">
      <c r="B61" s="1"/>
      <c r="C61" s="1"/>
      <c r="D61" s="1"/>
      <c r="E61" s="1"/>
      <c r="F61" s="1"/>
      <c r="G61" s="1"/>
      <c r="H61" s="1"/>
      <c r="I61" s="3"/>
      <c r="J61" s="3"/>
      <c r="K61" s="1"/>
      <c r="L61" s="1"/>
      <c r="M61" s="1"/>
      <c r="N61" s="4"/>
    </row>
    <row r="62" spans="2:14" ht="60" customHeight="1" x14ac:dyDescent="0.35">
      <c r="B62" s="1"/>
      <c r="C62" s="1"/>
      <c r="D62" s="1"/>
      <c r="E62" s="1"/>
      <c r="F62" s="1"/>
      <c r="G62" s="1"/>
      <c r="H62" s="1"/>
      <c r="I62" s="3"/>
      <c r="J62" s="3"/>
      <c r="K62" s="1"/>
      <c r="L62" s="1"/>
      <c r="M62" s="1"/>
      <c r="N62" s="4"/>
    </row>
    <row r="63" spans="2:14" ht="60" customHeight="1" x14ac:dyDescent="0.35">
      <c r="B63" s="1"/>
      <c r="C63" s="1"/>
      <c r="D63" s="1"/>
      <c r="E63" s="1"/>
      <c r="F63" s="1"/>
      <c r="G63" s="1"/>
      <c r="H63" s="1"/>
      <c r="I63" s="3"/>
      <c r="J63" s="3"/>
      <c r="K63" s="1"/>
      <c r="L63" s="1"/>
      <c r="M63" s="1"/>
      <c r="N63" s="4"/>
    </row>
    <row r="64" spans="2:14" ht="60" customHeight="1" x14ac:dyDescent="0.35">
      <c r="B64" s="1"/>
      <c r="C64" s="1"/>
      <c r="D64" s="1"/>
      <c r="E64" s="1"/>
      <c r="F64" s="1"/>
      <c r="G64" s="1"/>
      <c r="H64" s="1"/>
      <c r="I64" s="3"/>
      <c r="J64" s="3"/>
      <c r="K64" s="1"/>
      <c r="L64" s="1"/>
      <c r="M64" s="1"/>
      <c r="N64" s="4"/>
    </row>
    <row r="65" spans="2:14" ht="60" customHeight="1" x14ac:dyDescent="0.35">
      <c r="B65" s="1"/>
      <c r="C65" s="1"/>
      <c r="D65" s="1"/>
      <c r="E65" s="1"/>
      <c r="F65" s="1"/>
      <c r="G65" s="1"/>
      <c r="H65" s="1"/>
      <c r="I65" s="3"/>
      <c r="J65" s="3"/>
      <c r="K65" s="1"/>
      <c r="L65" s="1"/>
      <c r="M65" s="1"/>
      <c r="N65" s="4"/>
    </row>
    <row r="66" spans="2:14" ht="60" customHeight="1" x14ac:dyDescent="0.35">
      <c r="B66" s="1"/>
      <c r="C66" s="1"/>
      <c r="D66" s="1"/>
      <c r="E66" s="1"/>
      <c r="F66" s="1"/>
      <c r="G66" s="1"/>
      <c r="H66" s="1"/>
      <c r="I66" s="3"/>
      <c r="J66" s="3"/>
      <c r="K66" s="1"/>
      <c r="L66" s="1"/>
      <c r="M66" s="1"/>
      <c r="N66" s="4"/>
    </row>
    <row r="67" spans="2:14" ht="60" customHeight="1" x14ac:dyDescent="0.35">
      <c r="B67" s="1"/>
      <c r="C67" s="1"/>
      <c r="D67" s="1"/>
      <c r="E67" s="1"/>
      <c r="F67" s="1"/>
      <c r="G67" s="1"/>
      <c r="H67" s="1"/>
      <c r="I67" s="3"/>
      <c r="J67" s="3"/>
      <c r="K67" s="1"/>
      <c r="L67" s="1"/>
      <c r="M67" s="1"/>
      <c r="N67" s="4"/>
    </row>
    <row r="68" spans="2:14" ht="60" customHeight="1" x14ac:dyDescent="0.35">
      <c r="B68" s="1"/>
      <c r="C68" s="1"/>
      <c r="D68" s="1"/>
      <c r="E68" s="1"/>
      <c r="F68" s="1"/>
      <c r="G68" s="1"/>
      <c r="H68" s="1"/>
      <c r="I68" s="3"/>
      <c r="J68" s="3"/>
      <c r="K68" s="1"/>
      <c r="L68" s="1"/>
      <c r="M68" s="1"/>
      <c r="N68" s="4"/>
    </row>
    <row r="69" spans="2:14" ht="60" customHeight="1" x14ac:dyDescent="0.35">
      <c r="B69" s="1"/>
      <c r="C69" s="1"/>
      <c r="D69" s="1"/>
      <c r="E69" s="1"/>
      <c r="F69" s="1"/>
      <c r="G69" s="1"/>
      <c r="H69" s="1"/>
      <c r="I69" s="3"/>
      <c r="J69" s="3"/>
      <c r="K69" s="1"/>
      <c r="L69" s="1"/>
      <c r="M69" s="1"/>
      <c r="N69" s="4"/>
    </row>
    <row r="70" spans="2:14" ht="60" customHeight="1" x14ac:dyDescent="0.35">
      <c r="B70" s="1"/>
      <c r="C70" s="1"/>
      <c r="D70" s="1"/>
      <c r="E70" s="1"/>
      <c r="F70" s="1"/>
      <c r="G70" s="1"/>
      <c r="H70" s="1"/>
      <c r="I70" s="3"/>
      <c r="J70" s="3"/>
      <c r="K70" s="1"/>
      <c r="L70" s="1"/>
      <c r="M70" s="1"/>
      <c r="N70" s="4"/>
    </row>
    <row r="71" spans="2:14" ht="60" customHeight="1" x14ac:dyDescent="0.35">
      <c r="B71" s="1"/>
      <c r="C71" s="1"/>
      <c r="D71" s="1"/>
      <c r="E71" s="1"/>
      <c r="F71" s="1"/>
      <c r="G71" s="1"/>
      <c r="H71" s="1"/>
      <c r="I71" s="3"/>
      <c r="J71" s="3"/>
      <c r="K71" s="1"/>
      <c r="L71" s="1"/>
      <c r="M71" s="1"/>
      <c r="N71" s="4"/>
    </row>
    <row r="72" spans="2:14" ht="60" customHeight="1" x14ac:dyDescent="0.35">
      <c r="B72" s="1"/>
      <c r="C72" s="1"/>
      <c r="D72" s="1"/>
      <c r="E72" s="1"/>
      <c r="F72" s="1"/>
      <c r="G72" s="1"/>
      <c r="H72" s="1"/>
      <c r="I72" s="3"/>
      <c r="J72" s="3"/>
      <c r="K72" s="1"/>
      <c r="L72" s="1"/>
      <c r="M72" s="1"/>
      <c r="N72" s="4"/>
    </row>
    <row r="73" spans="2:14" ht="60" customHeight="1" x14ac:dyDescent="0.35">
      <c r="B73" s="1"/>
      <c r="C73" s="1"/>
      <c r="D73" s="1"/>
      <c r="E73" s="1"/>
      <c r="F73" s="1"/>
      <c r="G73" s="1"/>
      <c r="H73" s="1"/>
      <c r="I73" s="3"/>
      <c r="J73" s="3"/>
      <c r="K73" s="1"/>
      <c r="L73" s="1"/>
      <c r="M73" s="1"/>
      <c r="N73" s="4"/>
    </row>
    <row r="74" spans="2:14" ht="60" customHeight="1" x14ac:dyDescent="0.35">
      <c r="B74" s="1"/>
      <c r="C74" s="1"/>
      <c r="D74" s="1"/>
      <c r="E74" s="1"/>
      <c r="F74" s="1"/>
      <c r="G74" s="1"/>
      <c r="H74" s="1"/>
      <c r="I74" s="3"/>
      <c r="J74" s="3"/>
      <c r="K74" s="1"/>
      <c r="L74" s="1"/>
      <c r="M74" s="1"/>
      <c r="N74" s="4"/>
    </row>
    <row r="75" spans="2:14" ht="60" customHeight="1" x14ac:dyDescent="0.35">
      <c r="B75" s="1"/>
      <c r="C75" s="1"/>
      <c r="D75" s="1"/>
      <c r="E75" s="1"/>
      <c r="F75" s="1"/>
      <c r="G75" s="1"/>
      <c r="H75" s="1"/>
      <c r="I75" s="3"/>
      <c r="J75" s="3"/>
      <c r="K75" s="1"/>
      <c r="L75" s="1"/>
      <c r="M75" s="1"/>
      <c r="N75" s="4"/>
    </row>
    <row r="76" spans="2:14" ht="60" customHeight="1" x14ac:dyDescent="0.35">
      <c r="B76" s="1"/>
      <c r="C76" s="1"/>
      <c r="D76" s="1"/>
      <c r="E76" s="1"/>
      <c r="F76" s="1"/>
      <c r="G76" s="1"/>
      <c r="H76" s="1"/>
      <c r="I76" s="3"/>
      <c r="J76" s="3"/>
      <c r="K76" s="1"/>
      <c r="L76" s="1"/>
      <c r="M76" s="1"/>
      <c r="N76" s="4"/>
    </row>
    <row r="77" spans="2:14" ht="60" customHeight="1" x14ac:dyDescent="0.35">
      <c r="B77" s="1"/>
      <c r="C77" s="1"/>
      <c r="D77" s="1"/>
      <c r="E77" s="1"/>
      <c r="F77" s="1"/>
      <c r="G77" s="1"/>
      <c r="H77" s="1"/>
      <c r="I77" s="3"/>
      <c r="J77" s="3"/>
      <c r="K77" s="1"/>
      <c r="L77" s="1"/>
      <c r="M77" s="1"/>
      <c r="N77" s="4"/>
    </row>
    <row r="78" spans="2:14" ht="60" customHeight="1" x14ac:dyDescent="0.35">
      <c r="B78" s="1"/>
      <c r="C78" s="1"/>
      <c r="D78" s="1"/>
      <c r="E78" s="1"/>
      <c r="F78" s="1"/>
      <c r="G78" s="1"/>
      <c r="H78" s="1"/>
      <c r="I78" s="3"/>
      <c r="J78" s="3"/>
      <c r="K78" s="1"/>
      <c r="L78" s="1"/>
      <c r="M78" s="1"/>
      <c r="N78" s="4"/>
    </row>
    <row r="79" spans="2:14" ht="60" customHeight="1" x14ac:dyDescent="0.35">
      <c r="B79" s="1"/>
      <c r="C79" s="1"/>
      <c r="D79" s="1"/>
      <c r="E79" s="1"/>
      <c r="F79" s="1"/>
      <c r="G79" s="1"/>
      <c r="H79" s="1"/>
      <c r="I79" s="3"/>
      <c r="J79" s="3"/>
      <c r="K79" s="1"/>
      <c r="L79" s="1"/>
      <c r="M79" s="1"/>
      <c r="N79" s="4"/>
    </row>
    <row r="80" spans="2:14" ht="60" customHeight="1" x14ac:dyDescent="0.35">
      <c r="B80" s="1"/>
      <c r="C80" s="1"/>
      <c r="D80" s="1"/>
      <c r="E80" s="1"/>
      <c r="F80" s="1"/>
      <c r="G80" s="1"/>
      <c r="H80" s="1"/>
      <c r="I80" s="3"/>
      <c r="J80" s="3"/>
      <c r="K80" s="1"/>
      <c r="L80" s="1"/>
      <c r="M80" s="1"/>
      <c r="N80" s="4"/>
    </row>
    <row r="81" spans="2:14" ht="60" customHeight="1" x14ac:dyDescent="0.35">
      <c r="B81" s="1"/>
      <c r="C81" s="1"/>
      <c r="D81" s="1"/>
      <c r="E81" s="1"/>
      <c r="F81" s="1"/>
      <c r="G81" s="1"/>
      <c r="H81" s="1"/>
      <c r="I81" s="3"/>
      <c r="J81" s="3"/>
      <c r="K81" s="1"/>
      <c r="L81" s="1"/>
      <c r="M81" s="1"/>
      <c r="N81" s="4"/>
    </row>
    <row r="82" spans="2:14" ht="60" customHeight="1" x14ac:dyDescent="0.35">
      <c r="B82" s="1"/>
      <c r="C82" s="1"/>
      <c r="D82" s="1"/>
      <c r="E82" s="1"/>
      <c r="F82" s="1"/>
      <c r="G82" s="1"/>
      <c r="H82" s="1"/>
      <c r="I82" s="3"/>
      <c r="J82" s="3"/>
      <c r="K82" s="1"/>
      <c r="L82" s="1"/>
      <c r="M82" s="1"/>
      <c r="N82" s="4"/>
    </row>
    <row r="83" spans="2:14" ht="60" customHeight="1" x14ac:dyDescent="0.35">
      <c r="B83" s="1"/>
      <c r="C83" s="1"/>
      <c r="D83" s="1"/>
      <c r="E83" s="1"/>
      <c r="F83" s="1"/>
      <c r="G83" s="1"/>
      <c r="H83" s="1"/>
      <c r="I83" s="3"/>
      <c r="J83" s="3"/>
      <c r="K83" s="1"/>
      <c r="L83" s="1"/>
      <c r="M83" s="1"/>
      <c r="N83" s="4"/>
    </row>
    <row r="84" spans="2:14" ht="60" customHeight="1" x14ac:dyDescent="0.35">
      <c r="B84" s="1"/>
      <c r="C84" s="1"/>
      <c r="D84" s="1"/>
      <c r="E84" s="1"/>
      <c r="F84" s="1"/>
      <c r="G84" s="1"/>
      <c r="H84" s="1"/>
      <c r="I84" s="3"/>
      <c r="J84" s="3"/>
      <c r="K84" s="1"/>
      <c r="L84" s="1"/>
      <c r="M84" s="1"/>
      <c r="N84" s="4"/>
    </row>
    <row r="85" spans="2:14" ht="60" customHeight="1" x14ac:dyDescent="0.35">
      <c r="B85" s="1"/>
      <c r="C85" s="1"/>
      <c r="D85" s="1"/>
      <c r="E85" s="1"/>
      <c r="F85" s="1"/>
      <c r="G85" s="1"/>
      <c r="H85" s="1"/>
      <c r="I85" s="3"/>
      <c r="J85" s="3"/>
      <c r="K85" s="1"/>
      <c r="L85" s="1"/>
      <c r="M85" s="1"/>
      <c r="N85" s="4"/>
    </row>
    <row r="86" spans="2:14" ht="60" customHeight="1" x14ac:dyDescent="0.35">
      <c r="B86" s="1"/>
      <c r="C86" s="1"/>
      <c r="D86" s="1"/>
      <c r="E86" s="1"/>
      <c r="F86" s="1"/>
      <c r="G86" s="1"/>
      <c r="H86" s="1"/>
      <c r="I86" s="3"/>
      <c r="J86" s="5"/>
      <c r="K86" s="1"/>
      <c r="L86" s="1"/>
      <c r="M86" s="1"/>
      <c r="N86" s="4"/>
    </row>
    <row r="87" spans="2:14" ht="60" customHeight="1" x14ac:dyDescent="0.35">
      <c r="B87" s="1"/>
      <c r="C87" s="1"/>
      <c r="D87" s="1"/>
      <c r="E87" s="1"/>
      <c r="F87" s="1"/>
      <c r="G87" s="1"/>
      <c r="H87" s="1"/>
      <c r="I87" s="3"/>
      <c r="J87" s="5"/>
      <c r="K87" s="1"/>
      <c r="L87" s="1"/>
      <c r="M87" s="1"/>
      <c r="N87" s="4"/>
    </row>
    <row r="88" spans="2:14" ht="60" customHeight="1" x14ac:dyDescent="0.35">
      <c r="B88" s="1"/>
      <c r="C88" s="1"/>
      <c r="D88" s="1"/>
      <c r="E88" s="1"/>
      <c r="F88" s="1"/>
      <c r="G88" s="1"/>
      <c r="H88" s="1"/>
      <c r="I88" s="3"/>
      <c r="J88" s="5"/>
      <c r="K88" s="1"/>
      <c r="L88" s="1"/>
      <c r="M88" s="1"/>
      <c r="N88" s="4"/>
    </row>
    <row r="89" spans="2:14" ht="60" customHeight="1" x14ac:dyDescent="0.35">
      <c r="B89" s="1"/>
      <c r="C89" s="1"/>
      <c r="D89" s="1"/>
      <c r="E89" s="1"/>
      <c r="F89" s="1"/>
      <c r="G89" s="1"/>
      <c r="H89" s="1"/>
      <c r="I89" s="3"/>
      <c r="J89" s="5"/>
      <c r="K89" s="1"/>
      <c r="L89" s="1"/>
      <c r="M89" s="1"/>
      <c r="N89" s="4"/>
    </row>
    <row r="90" spans="2:14" ht="60" customHeight="1" x14ac:dyDescent="0.35">
      <c r="B90" s="1"/>
      <c r="C90" s="1"/>
      <c r="D90" s="1"/>
      <c r="E90" s="1"/>
      <c r="F90" s="1"/>
      <c r="G90" s="1"/>
      <c r="H90" s="1"/>
      <c r="I90" s="3"/>
      <c r="J90" s="5"/>
      <c r="K90" s="1"/>
      <c r="L90" s="1"/>
      <c r="M90" s="1"/>
      <c r="N90" s="4"/>
    </row>
    <row r="91" spans="2:14" ht="60" customHeight="1" x14ac:dyDescent="0.35">
      <c r="B91" s="1"/>
      <c r="C91" s="1"/>
      <c r="D91" s="1"/>
      <c r="E91" s="1"/>
      <c r="F91" s="1"/>
      <c r="G91" s="1"/>
      <c r="H91" s="1"/>
      <c r="I91" s="3"/>
      <c r="J91" s="5"/>
      <c r="K91" s="1"/>
      <c r="L91" s="1"/>
      <c r="M91" s="1"/>
      <c r="N91" s="4"/>
    </row>
    <row r="92" spans="2:14" ht="60" customHeight="1" x14ac:dyDescent="0.35">
      <c r="B92" s="1"/>
      <c r="C92" s="1"/>
      <c r="D92" s="1"/>
      <c r="E92" s="1"/>
      <c r="F92" s="1"/>
      <c r="G92" s="1"/>
      <c r="H92" s="1"/>
      <c r="I92" s="3"/>
      <c r="J92" s="5"/>
      <c r="K92" s="1"/>
      <c r="L92" s="1"/>
      <c r="M92" s="1"/>
      <c r="N92" s="4"/>
    </row>
    <row r="93" spans="2:14" ht="60" customHeight="1" x14ac:dyDescent="0.35">
      <c r="B93" s="1"/>
      <c r="C93" s="1"/>
      <c r="D93" s="1"/>
      <c r="E93" s="1"/>
      <c r="F93" s="1"/>
      <c r="G93" s="1"/>
      <c r="H93" s="1"/>
      <c r="I93" s="3"/>
      <c r="J93" s="5"/>
      <c r="K93" s="1"/>
      <c r="L93" s="1"/>
      <c r="M93" s="1"/>
      <c r="N93" s="4"/>
    </row>
    <row r="94" spans="2:14" ht="60" customHeight="1" x14ac:dyDescent="0.35">
      <c r="B94" s="1"/>
      <c r="C94" s="1"/>
      <c r="D94" s="1"/>
      <c r="E94" s="1"/>
      <c r="F94" s="1"/>
      <c r="G94" s="1"/>
      <c r="H94" s="1"/>
      <c r="I94" s="3"/>
      <c r="J94" s="5"/>
      <c r="K94" s="1"/>
      <c r="L94" s="1"/>
      <c r="M94" s="1"/>
      <c r="N94" s="4"/>
    </row>
    <row r="95" spans="2:14" ht="60" customHeight="1" x14ac:dyDescent="0.35">
      <c r="B95" s="1"/>
      <c r="C95" s="1"/>
      <c r="D95" s="1"/>
      <c r="E95" s="1"/>
      <c r="F95" s="1"/>
      <c r="G95" s="1"/>
      <c r="H95" s="1"/>
      <c r="I95" s="3"/>
      <c r="J95" s="5"/>
      <c r="K95" s="1"/>
      <c r="L95" s="1"/>
      <c r="M95" s="1"/>
      <c r="N95" s="4"/>
    </row>
    <row r="96" spans="2:14" ht="60" customHeight="1" x14ac:dyDescent="0.35">
      <c r="B96" s="1"/>
      <c r="C96" s="1"/>
      <c r="D96" s="1"/>
      <c r="E96" s="1"/>
      <c r="F96" s="1"/>
      <c r="G96" s="1"/>
      <c r="H96" s="1"/>
      <c r="I96" s="3"/>
      <c r="J96" s="5"/>
      <c r="K96" s="1"/>
      <c r="L96" s="1"/>
      <c r="M96" s="1"/>
      <c r="N96" s="4"/>
    </row>
    <row r="97" spans="2:14" ht="60" customHeight="1" x14ac:dyDescent="0.35">
      <c r="B97" s="1"/>
      <c r="C97" s="1"/>
      <c r="D97" s="1"/>
      <c r="E97" s="1"/>
      <c r="F97" s="1"/>
      <c r="G97" s="1"/>
      <c r="H97" s="1"/>
      <c r="I97" s="3"/>
      <c r="J97" s="5"/>
      <c r="K97" s="1"/>
      <c r="L97" s="1"/>
      <c r="M97" s="1"/>
      <c r="N97" s="4"/>
    </row>
    <row r="98" spans="2:14" ht="60" customHeight="1" x14ac:dyDescent="0.35">
      <c r="B98" s="1"/>
      <c r="C98" s="1"/>
      <c r="D98" s="1"/>
      <c r="E98" s="1"/>
      <c r="F98" s="1"/>
      <c r="G98" s="1"/>
      <c r="H98" s="1"/>
      <c r="I98" s="3"/>
      <c r="J98" s="5"/>
      <c r="K98" s="1"/>
      <c r="L98" s="1"/>
      <c r="M98" s="1"/>
      <c r="N98" s="4"/>
    </row>
    <row r="99" spans="2:14" ht="60" customHeight="1" x14ac:dyDescent="0.35">
      <c r="B99" s="1"/>
      <c r="C99" s="1"/>
      <c r="D99" s="1"/>
      <c r="E99" s="1"/>
      <c r="F99" s="1"/>
      <c r="G99" s="1"/>
      <c r="H99" s="1"/>
      <c r="I99" s="3"/>
      <c r="J99" s="5"/>
      <c r="K99" s="1"/>
      <c r="L99" s="1"/>
      <c r="M99" s="1"/>
      <c r="N99" s="4"/>
    </row>
    <row r="100" spans="2:14" ht="60" customHeight="1" x14ac:dyDescent="0.35">
      <c r="B100" s="1"/>
      <c r="C100" s="1"/>
      <c r="D100" s="1"/>
      <c r="E100" s="1"/>
      <c r="F100" s="1"/>
      <c r="G100" s="1"/>
      <c r="H100" s="1"/>
      <c r="I100" s="3"/>
      <c r="J100" s="5"/>
      <c r="K100" s="1"/>
      <c r="L100" s="1"/>
      <c r="M100" s="1"/>
      <c r="N100" s="4"/>
    </row>
    <row r="101" spans="2:14" ht="60" customHeight="1" x14ac:dyDescent="0.35">
      <c r="B101" s="1"/>
      <c r="C101" s="1"/>
      <c r="D101" s="1"/>
      <c r="E101" s="1"/>
      <c r="F101" s="1"/>
      <c r="G101" s="1"/>
      <c r="H101" s="1"/>
      <c r="I101" s="3"/>
      <c r="J101" s="5"/>
      <c r="K101" s="1"/>
      <c r="L101" s="1"/>
      <c r="M101" s="1"/>
      <c r="N101" s="4"/>
    </row>
    <row r="102" spans="2:14" ht="60" customHeight="1" x14ac:dyDescent="0.35">
      <c r="B102" s="1"/>
      <c r="C102" s="1"/>
      <c r="D102" s="1"/>
      <c r="E102" s="1"/>
      <c r="F102" s="1"/>
      <c r="G102" s="1"/>
      <c r="H102" s="1"/>
      <c r="I102" s="3"/>
      <c r="J102" s="5"/>
      <c r="K102" s="1"/>
      <c r="L102" s="1"/>
      <c r="M102" s="1"/>
      <c r="N102" s="4"/>
    </row>
    <row r="103" spans="2:14" ht="60" customHeight="1" x14ac:dyDescent="0.35">
      <c r="B103" s="1"/>
      <c r="C103" s="1"/>
      <c r="D103" s="1"/>
      <c r="E103" s="1"/>
      <c r="F103" s="1"/>
      <c r="G103" s="1"/>
      <c r="H103" s="1"/>
      <c r="I103" s="3"/>
      <c r="J103" s="5"/>
      <c r="K103" s="1"/>
      <c r="L103" s="1"/>
      <c r="M103" s="1"/>
      <c r="N103" s="4"/>
    </row>
    <row r="104" spans="2:14" ht="60" customHeight="1" x14ac:dyDescent="0.35">
      <c r="B104" s="1"/>
      <c r="C104" s="1"/>
      <c r="D104" s="1"/>
      <c r="E104" s="1"/>
      <c r="F104" s="1"/>
      <c r="G104" s="1"/>
      <c r="H104" s="1"/>
      <c r="I104" s="3"/>
      <c r="J104" s="5"/>
      <c r="K104" s="1"/>
      <c r="L104" s="1"/>
      <c r="M104" s="1"/>
      <c r="N104" s="4"/>
    </row>
    <row r="105" spans="2:14" ht="60" customHeight="1" x14ac:dyDescent="0.35">
      <c r="B105" s="1"/>
      <c r="C105" s="1"/>
      <c r="D105" s="1"/>
      <c r="E105" s="1"/>
      <c r="F105" s="1"/>
      <c r="G105" s="1"/>
      <c r="H105" s="1"/>
      <c r="I105" s="3"/>
      <c r="J105" s="5"/>
      <c r="K105" s="1"/>
      <c r="L105" s="1"/>
      <c r="M105" s="1"/>
      <c r="N105" s="4"/>
    </row>
    <row r="106" spans="2:14" ht="60" customHeight="1" x14ac:dyDescent="0.35">
      <c r="B106" s="1"/>
      <c r="C106" s="1"/>
      <c r="D106" s="1"/>
      <c r="E106" s="1"/>
      <c r="F106" s="1"/>
      <c r="G106" s="1"/>
      <c r="H106" s="1"/>
      <c r="I106" s="3"/>
      <c r="J106" s="5"/>
      <c r="K106" s="1"/>
      <c r="L106" s="1"/>
      <c r="M106" s="1"/>
      <c r="N106" s="4"/>
    </row>
    <row r="107" spans="2:14" ht="60" customHeight="1" x14ac:dyDescent="0.35">
      <c r="B107" s="1"/>
      <c r="C107" s="1"/>
      <c r="D107" s="1"/>
      <c r="E107" s="1"/>
      <c r="F107" s="1"/>
      <c r="G107" s="1"/>
      <c r="H107" s="1"/>
      <c r="I107" s="3"/>
      <c r="J107" s="5"/>
      <c r="K107" s="1"/>
      <c r="L107" s="1"/>
      <c r="M107" s="1"/>
      <c r="N107" s="4"/>
    </row>
    <row r="108" spans="2:14" ht="60" customHeight="1" x14ac:dyDescent="0.35">
      <c r="B108" s="1"/>
      <c r="C108" s="1"/>
      <c r="D108" s="1"/>
      <c r="E108" s="1"/>
      <c r="F108" s="1"/>
      <c r="G108" s="1"/>
      <c r="H108" s="1"/>
      <c r="I108" s="3"/>
      <c r="J108" s="5"/>
      <c r="K108" s="1"/>
      <c r="L108" s="1"/>
      <c r="M108" s="1"/>
      <c r="N108" s="4"/>
    </row>
    <row r="109" spans="2:14" ht="60" customHeight="1" x14ac:dyDescent="0.35">
      <c r="B109" s="1"/>
      <c r="C109" s="1"/>
      <c r="D109" s="1"/>
      <c r="E109" s="1"/>
      <c r="F109" s="1"/>
      <c r="G109" s="1"/>
      <c r="H109" s="1"/>
      <c r="I109" s="3"/>
      <c r="J109" s="5"/>
      <c r="K109" s="1"/>
      <c r="L109" s="1"/>
      <c r="M109" s="1"/>
      <c r="N109" s="4"/>
    </row>
    <row r="110" spans="2:14" ht="60" customHeight="1" x14ac:dyDescent="0.35">
      <c r="B110" s="1"/>
      <c r="C110" s="1"/>
      <c r="D110" s="1"/>
      <c r="E110" s="1"/>
      <c r="F110" s="1"/>
      <c r="G110" s="1"/>
      <c r="H110" s="1"/>
      <c r="I110" s="3"/>
      <c r="J110" s="5"/>
      <c r="K110" s="1"/>
      <c r="L110" s="1"/>
      <c r="M110" s="1"/>
      <c r="N110" s="4"/>
    </row>
    <row r="111" spans="2:14" ht="60" customHeight="1" x14ac:dyDescent="0.35">
      <c r="B111" s="1"/>
      <c r="C111" s="1"/>
      <c r="D111" s="1"/>
      <c r="E111" s="1"/>
      <c r="F111" s="1"/>
      <c r="G111" s="1"/>
      <c r="H111" s="1"/>
      <c r="I111" s="3"/>
      <c r="J111" s="5"/>
      <c r="K111" s="1"/>
      <c r="L111" s="1"/>
      <c r="M111" s="1"/>
      <c r="N111" s="4"/>
    </row>
    <row r="112" spans="2:14" ht="60" customHeight="1" x14ac:dyDescent="0.35">
      <c r="B112" s="1"/>
      <c r="C112" s="1"/>
      <c r="D112" s="1"/>
      <c r="E112" s="1"/>
      <c r="F112" s="1"/>
      <c r="G112" s="1"/>
      <c r="H112" s="1"/>
      <c r="I112" s="3"/>
      <c r="J112" s="5"/>
      <c r="K112" s="1"/>
      <c r="L112" s="1"/>
      <c r="M112" s="1"/>
      <c r="N112" s="4"/>
    </row>
    <row r="113" spans="2:14" ht="60" customHeight="1" x14ac:dyDescent="0.35">
      <c r="B113" s="1"/>
      <c r="C113" s="1"/>
      <c r="D113" s="1"/>
      <c r="E113" s="1"/>
      <c r="F113" s="1"/>
      <c r="G113" s="1"/>
      <c r="H113" s="1"/>
      <c r="I113" s="3"/>
      <c r="J113" s="5"/>
      <c r="K113" s="1"/>
      <c r="L113" s="1"/>
      <c r="M113" s="1"/>
      <c r="N113" s="4"/>
    </row>
    <row r="114" spans="2:14" ht="60" customHeight="1" x14ac:dyDescent="0.35">
      <c r="B114" s="1"/>
      <c r="C114" s="1"/>
      <c r="D114" s="1"/>
      <c r="E114" s="1"/>
      <c r="F114" s="1"/>
      <c r="G114" s="1"/>
      <c r="H114" s="1"/>
      <c r="I114" s="3"/>
      <c r="J114" s="5"/>
      <c r="K114" s="1"/>
      <c r="L114" s="1"/>
      <c r="M114" s="1"/>
      <c r="N114" s="4"/>
    </row>
    <row r="115" spans="2:14" ht="60" customHeight="1" x14ac:dyDescent="0.35">
      <c r="B115" s="1"/>
      <c r="C115" s="1"/>
      <c r="D115" s="1"/>
      <c r="E115" s="1"/>
      <c r="F115" s="1"/>
      <c r="G115" s="1"/>
      <c r="H115" s="1"/>
      <c r="I115" s="3"/>
      <c r="J115" s="5"/>
      <c r="K115" s="1"/>
      <c r="L115" s="1"/>
      <c r="M115" s="1"/>
      <c r="N115" s="4"/>
    </row>
    <row r="116" spans="2:14" ht="60" customHeight="1" x14ac:dyDescent="0.35">
      <c r="B116" s="1"/>
      <c r="C116" s="1"/>
      <c r="D116" s="1"/>
      <c r="E116" s="1"/>
      <c r="F116" s="1"/>
      <c r="G116" s="1"/>
      <c r="H116" s="1"/>
      <c r="I116" s="3"/>
      <c r="J116" s="5"/>
      <c r="K116" s="1"/>
      <c r="L116" s="1"/>
      <c r="M116" s="1"/>
      <c r="N116" s="4"/>
    </row>
    <row r="117" spans="2:14" ht="60" customHeight="1" x14ac:dyDescent="0.35">
      <c r="B117" s="1"/>
      <c r="C117" s="1"/>
      <c r="D117" s="1"/>
      <c r="E117" s="1"/>
      <c r="F117" s="1"/>
      <c r="G117" s="1"/>
      <c r="H117" s="1"/>
      <c r="I117" s="3"/>
      <c r="J117" s="5"/>
      <c r="K117" s="1"/>
      <c r="L117" s="1"/>
      <c r="M117" s="1"/>
      <c r="N117" s="4"/>
    </row>
    <row r="118" spans="2:14" ht="60" customHeight="1" x14ac:dyDescent="0.35">
      <c r="B118" s="1"/>
      <c r="C118" s="1"/>
      <c r="D118" s="1"/>
      <c r="E118" s="1"/>
      <c r="F118" s="1"/>
      <c r="G118" s="1"/>
      <c r="H118" s="1"/>
      <c r="I118" s="3"/>
      <c r="J118" s="5"/>
      <c r="K118" s="1"/>
      <c r="L118" s="1"/>
      <c r="M118" s="1"/>
      <c r="N118" s="4"/>
    </row>
    <row r="119" spans="2:14" ht="60" customHeight="1" x14ac:dyDescent="0.35">
      <c r="B119" s="1"/>
      <c r="C119" s="1"/>
      <c r="D119" s="1"/>
      <c r="E119" s="1"/>
      <c r="F119" s="1"/>
      <c r="G119" s="1"/>
      <c r="H119" s="1"/>
      <c r="I119" s="3"/>
      <c r="J119" s="5"/>
      <c r="K119" s="1"/>
      <c r="L119" s="1"/>
      <c r="M119" s="1"/>
      <c r="N119" s="4"/>
    </row>
    <row r="120" spans="2:14" ht="60" customHeight="1" x14ac:dyDescent="0.35">
      <c r="B120" s="1"/>
      <c r="C120" s="1"/>
      <c r="D120" s="1"/>
      <c r="E120" s="1"/>
      <c r="F120" s="1"/>
      <c r="G120" s="1"/>
      <c r="H120" s="1"/>
      <c r="I120" s="3"/>
      <c r="J120" s="5"/>
      <c r="K120" s="1"/>
      <c r="L120" s="1"/>
      <c r="M120" s="1"/>
      <c r="N120" s="4"/>
    </row>
    <row r="121" spans="2:14" ht="60" customHeight="1" x14ac:dyDescent="0.35">
      <c r="B121" s="1"/>
      <c r="C121" s="1"/>
      <c r="D121" s="1"/>
      <c r="E121" s="1"/>
      <c r="F121" s="1"/>
      <c r="G121" s="1"/>
      <c r="H121" s="1"/>
      <c r="I121" s="3"/>
      <c r="J121" s="5"/>
      <c r="K121" s="1"/>
      <c r="L121" s="1"/>
      <c r="M121" s="1"/>
      <c r="N121" s="4"/>
    </row>
    <row r="122" spans="2:14" ht="60" customHeight="1" x14ac:dyDescent="0.35">
      <c r="B122" s="1"/>
      <c r="C122" s="1"/>
      <c r="D122" s="1"/>
      <c r="E122" s="1"/>
      <c r="F122" s="1"/>
      <c r="G122" s="1"/>
      <c r="H122" s="1"/>
      <c r="I122" s="3"/>
      <c r="J122" s="5"/>
      <c r="K122" s="1"/>
      <c r="L122" s="1"/>
      <c r="M122" s="1"/>
      <c r="N122" s="4"/>
    </row>
    <row r="123" spans="2:14" ht="60" customHeight="1" x14ac:dyDescent="0.35">
      <c r="B123" s="1"/>
      <c r="C123" s="1"/>
      <c r="D123" s="1"/>
      <c r="E123" s="1"/>
      <c r="F123" s="1"/>
      <c r="G123" s="1"/>
      <c r="H123" s="1"/>
      <c r="I123" s="3"/>
      <c r="J123" s="5"/>
      <c r="K123" s="1"/>
      <c r="L123" s="1"/>
      <c r="M123" s="1"/>
      <c r="N123" s="4"/>
    </row>
    <row r="124" spans="2:14" ht="60" customHeight="1" x14ac:dyDescent="0.35">
      <c r="B124" s="1"/>
      <c r="C124" s="1"/>
      <c r="D124" s="1"/>
      <c r="E124" s="1"/>
      <c r="F124" s="1"/>
      <c r="G124" s="1"/>
      <c r="H124" s="1"/>
      <c r="I124" s="3"/>
      <c r="J124" s="5"/>
      <c r="K124" s="1"/>
      <c r="L124" s="1"/>
      <c r="M124" s="1"/>
      <c r="N124" s="4"/>
    </row>
    <row r="125" spans="2:14" ht="60" customHeight="1" x14ac:dyDescent="0.35">
      <c r="B125" s="1"/>
      <c r="C125" s="1"/>
      <c r="D125" s="1"/>
      <c r="E125" s="1"/>
      <c r="F125" s="1"/>
      <c r="G125" s="1"/>
      <c r="H125" s="1"/>
      <c r="I125" s="3"/>
      <c r="J125" s="5"/>
      <c r="K125" s="1"/>
      <c r="L125" s="1"/>
      <c r="M125" s="1"/>
      <c r="N125" s="4"/>
    </row>
    <row r="126" spans="2:14" ht="60" customHeight="1" x14ac:dyDescent="0.35">
      <c r="B126" s="1"/>
      <c r="C126" s="1"/>
      <c r="D126" s="1"/>
      <c r="E126" s="1"/>
      <c r="F126" s="1"/>
      <c r="G126" s="1"/>
      <c r="H126" s="1"/>
      <c r="I126" s="3"/>
      <c r="J126" s="5"/>
      <c r="K126" s="1"/>
      <c r="L126" s="1"/>
      <c r="M126" s="1"/>
      <c r="N126" s="4"/>
    </row>
    <row r="127" spans="2:14" ht="60" customHeight="1" x14ac:dyDescent="0.35">
      <c r="B127" s="1"/>
      <c r="C127" s="1"/>
      <c r="D127" s="1"/>
      <c r="E127" s="1"/>
      <c r="F127" s="1"/>
      <c r="G127" s="1"/>
      <c r="H127" s="1"/>
      <c r="I127" s="3"/>
      <c r="J127" s="5"/>
      <c r="K127" s="1"/>
      <c r="L127" s="1"/>
      <c r="M127" s="1"/>
      <c r="N127" s="4"/>
    </row>
    <row r="128" spans="2:14" ht="60" customHeight="1" x14ac:dyDescent="0.35">
      <c r="B128" s="1"/>
      <c r="C128" s="1"/>
      <c r="D128" s="1"/>
      <c r="E128" s="1"/>
      <c r="F128" s="1"/>
      <c r="G128" s="1"/>
      <c r="H128" s="1"/>
      <c r="I128" s="3"/>
      <c r="J128" s="5"/>
      <c r="K128" s="1"/>
      <c r="L128" s="1"/>
      <c r="M128" s="1"/>
      <c r="N128" s="4"/>
    </row>
    <row r="129" spans="2:14" ht="60" customHeight="1" x14ac:dyDescent="0.35">
      <c r="B129" s="1"/>
      <c r="C129" s="1"/>
      <c r="D129" s="1"/>
      <c r="E129" s="1"/>
      <c r="F129" s="1"/>
      <c r="G129" s="1"/>
      <c r="H129" s="1"/>
      <c r="I129" s="3"/>
      <c r="J129" s="5"/>
      <c r="K129" s="1"/>
      <c r="L129" s="1"/>
      <c r="M129" s="1"/>
      <c r="N129" s="4"/>
    </row>
    <row r="130" spans="2:14" ht="60" customHeight="1" x14ac:dyDescent="0.35">
      <c r="B130" s="1"/>
      <c r="C130" s="1"/>
      <c r="D130" s="1"/>
      <c r="E130" s="1"/>
      <c r="F130" s="1"/>
      <c r="G130" s="1"/>
      <c r="H130" s="1"/>
      <c r="I130" s="3"/>
      <c r="J130" s="5"/>
      <c r="K130" s="1"/>
      <c r="L130" s="1"/>
      <c r="M130" s="1"/>
      <c r="N130" s="4"/>
    </row>
    <row r="131" spans="2:14" ht="60" customHeight="1" x14ac:dyDescent="0.35">
      <c r="B131" s="1"/>
      <c r="C131" s="1"/>
      <c r="D131" s="1"/>
      <c r="E131" s="1"/>
      <c r="F131" s="1"/>
      <c r="G131" s="1"/>
      <c r="H131" s="1"/>
      <c r="I131" s="3"/>
      <c r="J131" s="5"/>
      <c r="K131" s="1"/>
      <c r="L131" s="1"/>
      <c r="M131" s="1"/>
      <c r="N131" s="4"/>
    </row>
    <row r="132" spans="2:14" ht="60" customHeight="1" x14ac:dyDescent="0.35">
      <c r="B132" s="1"/>
      <c r="C132" s="1"/>
      <c r="D132" s="1"/>
      <c r="E132" s="1"/>
      <c r="F132" s="1"/>
      <c r="G132" s="1"/>
      <c r="H132" s="1"/>
      <c r="I132" s="3"/>
      <c r="J132" s="5"/>
      <c r="K132" s="1"/>
      <c r="L132" s="1"/>
      <c r="M132" s="1"/>
      <c r="N132" s="4"/>
    </row>
    <row r="133" spans="2:14" ht="60" customHeight="1" x14ac:dyDescent="0.35">
      <c r="B133" s="1"/>
      <c r="C133" s="1"/>
      <c r="D133" s="1"/>
      <c r="E133" s="1"/>
      <c r="F133" s="1"/>
      <c r="G133" s="1"/>
      <c r="H133" s="1"/>
      <c r="I133" s="3"/>
      <c r="J133" s="5"/>
      <c r="K133" s="1"/>
      <c r="L133" s="1"/>
      <c r="M133" s="1"/>
      <c r="N133" s="4"/>
    </row>
    <row r="134" spans="2:14" ht="60" customHeight="1" x14ac:dyDescent="0.35">
      <c r="B134" s="1"/>
      <c r="C134" s="1"/>
      <c r="D134" s="1"/>
      <c r="E134" s="1"/>
      <c r="F134" s="1"/>
      <c r="G134" s="1"/>
      <c r="H134" s="1"/>
      <c r="I134" s="3"/>
      <c r="J134" s="5"/>
      <c r="K134" s="1"/>
      <c r="L134" s="1"/>
      <c r="M134" s="1"/>
      <c r="N134" s="4"/>
    </row>
    <row r="135" spans="2:14" ht="60" customHeight="1" x14ac:dyDescent="0.35">
      <c r="B135" s="1"/>
      <c r="C135" s="1"/>
      <c r="D135" s="1"/>
      <c r="E135" s="1"/>
      <c r="F135" s="1"/>
      <c r="G135" s="1"/>
      <c r="H135" s="1"/>
      <c r="I135" s="3"/>
      <c r="J135" s="5"/>
      <c r="K135" s="1"/>
      <c r="L135" s="1"/>
      <c r="M135" s="1"/>
      <c r="N135" s="4"/>
    </row>
    <row r="136" spans="2:14" ht="60" customHeight="1" x14ac:dyDescent="0.35">
      <c r="B136" s="1"/>
      <c r="C136" s="1"/>
      <c r="D136" s="1"/>
      <c r="E136" s="1"/>
      <c r="F136" s="1"/>
      <c r="G136" s="1"/>
      <c r="H136" s="1"/>
      <c r="I136" s="3"/>
      <c r="J136" s="5"/>
      <c r="K136" s="1"/>
      <c r="L136" s="1"/>
      <c r="M136" s="1"/>
      <c r="N136" s="4"/>
    </row>
    <row r="137" spans="2:14" ht="60" customHeight="1" x14ac:dyDescent="0.35">
      <c r="B137" s="1"/>
      <c r="C137" s="1"/>
      <c r="D137" s="1"/>
      <c r="E137" s="1"/>
      <c r="F137" s="1"/>
      <c r="G137" s="1"/>
      <c r="H137" s="1"/>
      <c r="I137" s="3"/>
      <c r="J137" s="5"/>
      <c r="K137" s="1"/>
      <c r="L137" s="1"/>
      <c r="M137" s="1"/>
      <c r="N137" s="4"/>
    </row>
    <row r="138" spans="2:14" ht="60" customHeight="1" x14ac:dyDescent="0.35">
      <c r="B138" s="1"/>
      <c r="C138" s="1"/>
      <c r="D138" s="1"/>
      <c r="E138" s="1"/>
      <c r="F138" s="1"/>
      <c r="G138" s="1"/>
      <c r="H138" s="1"/>
      <c r="I138" s="3"/>
      <c r="J138" s="5"/>
      <c r="K138" s="1"/>
      <c r="L138" s="1"/>
      <c r="M138" s="1"/>
      <c r="N138" s="4"/>
    </row>
    <row r="139" spans="2:14" ht="60" customHeight="1" x14ac:dyDescent="0.35">
      <c r="B139" s="1"/>
      <c r="C139" s="1"/>
      <c r="D139" s="1"/>
      <c r="E139" s="1"/>
      <c r="F139" s="1"/>
      <c r="G139" s="1"/>
      <c r="H139" s="1"/>
      <c r="I139" s="3"/>
      <c r="J139" s="5"/>
      <c r="K139" s="1"/>
      <c r="L139" s="1"/>
      <c r="M139" s="1"/>
      <c r="N139" s="4"/>
    </row>
    <row r="140" spans="2:14" ht="60" customHeight="1" x14ac:dyDescent="0.35">
      <c r="B140" s="1"/>
      <c r="C140" s="1"/>
      <c r="D140" s="1"/>
      <c r="E140" s="1"/>
      <c r="F140" s="1"/>
      <c r="G140" s="1"/>
      <c r="H140" s="1"/>
      <c r="I140" s="3"/>
      <c r="J140" s="5"/>
      <c r="K140" s="1"/>
      <c r="L140" s="1"/>
      <c r="M140" s="1"/>
      <c r="N140" s="4"/>
    </row>
    <row r="141" spans="2:14" ht="60" customHeight="1" x14ac:dyDescent="0.35">
      <c r="B141" s="1"/>
      <c r="C141" s="1"/>
      <c r="D141" s="1"/>
      <c r="E141" s="1"/>
      <c r="F141" s="1"/>
      <c r="G141" s="1"/>
      <c r="H141" s="1"/>
      <c r="I141" s="3"/>
      <c r="J141" s="5"/>
      <c r="K141" s="1"/>
      <c r="L141" s="1"/>
      <c r="M141" s="1"/>
      <c r="N141" s="4"/>
    </row>
    <row r="142" spans="2:14" ht="60" customHeight="1" x14ac:dyDescent="0.35">
      <c r="B142" s="1"/>
      <c r="C142" s="1"/>
      <c r="D142" s="1"/>
      <c r="E142" s="1"/>
      <c r="F142" s="1"/>
      <c r="G142" s="1"/>
      <c r="H142" s="1"/>
      <c r="I142" s="3"/>
      <c r="J142" s="5"/>
      <c r="K142" s="1"/>
      <c r="L142" s="1"/>
      <c r="M142" s="1"/>
      <c r="N142" s="4"/>
    </row>
    <row r="143" spans="2:14" ht="60" customHeight="1" x14ac:dyDescent="0.35">
      <c r="B143" s="1"/>
      <c r="C143" s="1"/>
      <c r="D143" s="1"/>
      <c r="E143" s="1"/>
      <c r="F143" s="1"/>
      <c r="G143" s="1"/>
      <c r="H143" s="1"/>
      <c r="I143" s="3"/>
      <c r="J143" s="5"/>
      <c r="K143" s="1"/>
      <c r="L143" s="1"/>
      <c r="M143" s="1"/>
      <c r="N143" s="4"/>
    </row>
    <row r="144" spans="2:14" ht="60" customHeight="1" x14ac:dyDescent="0.35">
      <c r="B144" s="1"/>
      <c r="C144" s="1"/>
      <c r="D144" s="1"/>
      <c r="E144" s="1"/>
      <c r="F144" s="1"/>
      <c r="G144" s="1"/>
      <c r="H144" s="1"/>
      <c r="I144" s="3"/>
      <c r="J144" s="5"/>
      <c r="K144" s="1"/>
      <c r="L144" s="1"/>
      <c r="M144" s="1"/>
      <c r="N144" s="4"/>
    </row>
    <row r="145" spans="2:14" ht="60" customHeight="1" x14ac:dyDescent="0.35">
      <c r="B145" s="1"/>
      <c r="C145" s="1"/>
      <c r="D145" s="1"/>
      <c r="E145" s="1"/>
      <c r="F145" s="1"/>
      <c r="G145" s="1"/>
      <c r="H145" s="1"/>
      <c r="I145" s="3"/>
      <c r="J145" s="5"/>
      <c r="K145" s="1"/>
      <c r="L145" s="1"/>
      <c r="M145" s="1"/>
      <c r="N145" s="4"/>
    </row>
    <row r="146" spans="2:14" ht="60" customHeight="1" x14ac:dyDescent="0.35">
      <c r="B146" s="1"/>
      <c r="C146" s="1"/>
      <c r="D146" s="1"/>
      <c r="E146" s="1"/>
      <c r="F146" s="1"/>
      <c r="G146" s="1"/>
      <c r="H146" s="1"/>
      <c r="I146" s="3"/>
      <c r="J146" s="5"/>
      <c r="K146" s="1"/>
      <c r="L146" s="1"/>
      <c r="M146" s="1"/>
      <c r="N146" s="4"/>
    </row>
    <row r="147" spans="2:14" ht="60" customHeight="1" x14ac:dyDescent="0.35">
      <c r="B147" s="1"/>
      <c r="C147" s="1"/>
      <c r="D147" s="1"/>
      <c r="E147" s="1"/>
      <c r="F147" s="1"/>
      <c r="G147" s="1"/>
      <c r="H147" s="1"/>
      <c r="I147" s="3"/>
      <c r="J147" s="5"/>
      <c r="K147" s="1"/>
      <c r="L147" s="1"/>
      <c r="M147" s="1"/>
      <c r="N147" s="4"/>
    </row>
    <row r="148" spans="2:14" ht="60" customHeight="1" x14ac:dyDescent="0.35">
      <c r="B148" s="1"/>
      <c r="C148" s="1"/>
      <c r="D148" s="1"/>
      <c r="E148" s="1"/>
      <c r="F148" s="1"/>
      <c r="G148" s="1"/>
      <c r="H148" s="1"/>
      <c r="I148" s="3"/>
      <c r="J148" s="5"/>
      <c r="K148" s="1"/>
      <c r="L148" s="1"/>
      <c r="M148" s="1"/>
      <c r="N148" s="4"/>
    </row>
    <row r="149" spans="2:14" ht="60" customHeight="1" x14ac:dyDescent="0.35">
      <c r="B149" s="1"/>
      <c r="C149" s="1"/>
      <c r="D149" s="1"/>
      <c r="E149" s="1"/>
      <c r="F149" s="1"/>
      <c r="G149" s="1"/>
      <c r="H149" s="1"/>
      <c r="I149" s="3"/>
      <c r="J149" s="5"/>
      <c r="K149" s="1"/>
      <c r="L149" s="1"/>
      <c r="M149" s="1"/>
      <c r="N149" s="4"/>
    </row>
    <row r="150" spans="2:14" ht="60" customHeight="1" x14ac:dyDescent="0.35">
      <c r="B150" s="1"/>
      <c r="C150" s="1"/>
      <c r="D150" s="1"/>
      <c r="E150" s="1"/>
      <c r="F150" s="1"/>
      <c r="G150" s="1"/>
      <c r="H150" s="1"/>
      <c r="I150" s="3"/>
      <c r="J150" s="5"/>
      <c r="K150" s="1"/>
      <c r="L150" s="1"/>
      <c r="M150" s="1"/>
      <c r="N150" s="4"/>
    </row>
    <row r="151" spans="2:14" ht="60" customHeight="1" x14ac:dyDescent="0.35">
      <c r="B151" s="1"/>
      <c r="C151" s="1"/>
      <c r="D151" s="1"/>
      <c r="E151" s="1"/>
      <c r="F151" s="1"/>
      <c r="G151" s="1"/>
      <c r="H151" s="1"/>
      <c r="I151" s="3"/>
      <c r="J151" s="5"/>
      <c r="K151" s="1"/>
      <c r="L151" s="1"/>
      <c r="M151" s="1"/>
      <c r="N151" s="4"/>
    </row>
    <row r="152" spans="2:14" ht="60" customHeight="1" x14ac:dyDescent="0.35">
      <c r="B152" s="1"/>
      <c r="C152" s="1"/>
      <c r="D152" s="1"/>
      <c r="E152" s="1"/>
      <c r="F152" s="1"/>
      <c r="G152" s="1"/>
      <c r="H152" s="1"/>
      <c r="I152" s="3"/>
      <c r="J152" s="5"/>
      <c r="K152" s="1"/>
      <c r="L152" s="1"/>
      <c r="M152" s="1"/>
      <c r="N152" s="4"/>
    </row>
    <row r="153" spans="2:14" ht="60" customHeight="1" x14ac:dyDescent="0.35">
      <c r="B153" s="1"/>
      <c r="C153" s="1"/>
      <c r="D153" s="1"/>
      <c r="E153" s="1"/>
      <c r="F153" s="1"/>
      <c r="G153" s="1"/>
      <c r="H153" s="1"/>
      <c r="I153" s="3"/>
      <c r="J153" s="5"/>
      <c r="K153" s="1"/>
      <c r="L153" s="1"/>
      <c r="M153" s="1"/>
      <c r="N153" s="4"/>
    </row>
    <row r="154" spans="2:14" ht="60" customHeight="1" x14ac:dyDescent="0.35">
      <c r="B154" s="1"/>
      <c r="C154" s="1"/>
      <c r="D154" s="1"/>
      <c r="E154" s="1"/>
      <c r="F154" s="1"/>
      <c r="G154" s="1"/>
      <c r="H154" s="1"/>
      <c r="I154" s="3"/>
      <c r="J154" s="5"/>
      <c r="K154" s="1"/>
      <c r="L154" s="1"/>
      <c r="M154" s="1"/>
      <c r="N154" s="4"/>
    </row>
    <row r="155" spans="2:14" ht="60" customHeight="1" x14ac:dyDescent="0.35">
      <c r="B155" s="1"/>
      <c r="C155" s="1"/>
      <c r="D155" s="1"/>
      <c r="E155" s="1"/>
      <c r="F155" s="1"/>
      <c r="G155" s="1"/>
      <c r="H155" s="1"/>
      <c r="I155" s="3"/>
      <c r="J155" s="5"/>
      <c r="K155" s="1"/>
      <c r="L155" s="1"/>
      <c r="M155" s="1"/>
      <c r="N155" s="4"/>
    </row>
    <row r="156" spans="2:14" ht="60" customHeight="1" x14ac:dyDescent="0.35">
      <c r="B156" s="1"/>
      <c r="C156" s="1"/>
      <c r="D156" s="1"/>
      <c r="E156" s="1"/>
      <c r="F156" s="1"/>
      <c r="G156" s="1"/>
      <c r="H156" s="1"/>
      <c r="I156" s="3"/>
      <c r="J156" s="5"/>
      <c r="K156" s="1"/>
      <c r="L156" s="1"/>
      <c r="M156" s="1"/>
      <c r="N156" s="4"/>
    </row>
    <row r="157" spans="2:14" ht="60" customHeight="1" x14ac:dyDescent="0.35">
      <c r="B157" s="1"/>
      <c r="C157" s="1"/>
      <c r="D157" s="1"/>
      <c r="E157" s="1"/>
      <c r="F157" s="1"/>
      <c r="G157" s="1"/>
      <c r="H157" s="1"/>
      <c r="I157" s="3"/>
      <c r="J157" s="5"/>
      <c r="K157" s="1"/>
      <c r="L157" s="1"/>
      <c r="M157" s="1"/>
      <c r="N157" s="4"/>
    </row>
    <row r="158" spans="2:14" ht="60" customHeight="1" x14ac:dyDescent="0.35">
      <c r="B158" s="1"/>
      <c r="C158" s="1"/>
      <c r="D158" s="1"/>
      <c r="E158" s="1"/>
      <c r="F158" s="1"/>
      <c r="G158" s="1"/>
      <c r="H158" s="1"/>
      <c r="I158" s="3"/>
      <c r="J158" s="5"/>
      <c r="K158" s="1"/>
      <c r="L158" s="1"/>
      <c r="M158" s="1"/>
      <c r="N158" s="4"/>
    </row>
    <row r="159" spans="2:14" ht="60" customHeight="1" x14ac:dyDescent="0.35">
      <c r="B159" s="1"/>
      <c r="C159" s="1"/>
      <c r="D159" s="1"/>
      <c r="E159" s="1"/>
      <c r="F159" s="1"/>
      <c r="G159" s="1"/>
      <c r="H159" s="1"/>
      <c r="I159" s="3"/>
      <c r="J159" s="5"/>
      <c r="K159" s="1"/>
      <c r="L159" s="1"/>
      <c r="M159" s="1"/>
      <c r="N159" s="4"/>
    </row>
    <row r="160" spans="2:14" ht="60" customHeight="1" x14ac:dyDescent="0.35">
      <c r="B160" s="1"/>
      <c r="C160" s="1"/>
      <c r="D160" s="1"/>
      <c r="E160" s="1"/>
      <c r="F160" s="1"/>
      <c r="G160" s="1"/>
      <c r="H160" s="1"/>
      <c r="I160" s="3"/>
      <c r="J160" s="5"/>
      <c r="K160" s="1"/>
      <c r="L160" s="1"/>
      <c r="M160" s="1"/>
      <c r="N160" s="4"/>
    </row>
    <row r="161" spans="2:14" ht="60" customHeight="1" x14ac:dyDescent="0.35">
      <c r="B161" s="1"/>
      <c r="C161" s="1"/>
      <c r="D161" s="1"/>
      <c r="E161" s="1"/>
      <c r="F161" s="1"/>
      <c r="G161" s="1"/>
      <c r="H161" s="1"/>
      <c r="I161" s="3"/>
      <c r="J161" s="5"/>
      <c r="K161" s="1"/>
      <c r="L161" s="1"/>
      <c r="M161" s="1"/>
      <c r="N161" s="4"/>
    </row>
    <row r="162" spans="2:14" ht="60" customHeight="1" x14ac:dyDescent="0.35">
      <c r="B162" s="1"/>
      <c r="C162" s="1"/>
      <c r="D162" s="1"/>
      <c r="E162" s="1"/>
      <c r="F162" s="1"/>
      <c r="G162" s="1"/>
      <c r="H162" s="1"/>
      <c r="I162" s="3"/>
      <c r="J162" s="5"/>
      <c r="K162" s="1"/>
      <c r="L162" s="1"/>
      <c r="M162" s="1"/>
      <c r="N162" s="4"/>
    </row>
    <row r="163" spans="2:14" ht="60" customHeight="1" x14ac:dyDescent="0.35">
      <c r="B163" s="1"/>
      <c r="C163" s="1"/>
      <c r="D163" s="1"/>
      <c r="E163" s="1"/>
      <c r="F163" s="1"/>
      <c r="G163" s="1"/>
      <c r="H163" s="1"/>
      <c r="I163" s="3"/>
      <c r="J163" s="5"/>
      <c r="K163" s="1"/>
      <c r="L163" s="1"/>
      <c r="M163" s="1"/>
      <c r="N163" s="4"/>
    </row>
    <row r="164" spans="2:14" ht="60" customHeight="1" x14ac:dyDescent="0.35">
      <c r="B164" s="1"/>
      <c r="C164" s="1"/>
      <c r="D164" s="1"/>
      <c r="E164" s="1"/>
      <c r="F164" s="1"/>
      <c r="G164" s="1"/>
      <c r="H164" s="1"/>
      <c r="I164" s="3"/>
      <c r="J164" s="5"/>
      <c r="K164" s="1"/>
      <c r="L164" s="1"/>
      <c r="M164" s="1"/>
      <c r="N164" s="4"/>
    </row>
    <row r="165" spans="2:14" ht="60" customHeight="1" x14ac:dyDescent="0.35">
      <c r="B165" s="1"/>
      <c r="C165" s="1"/>
      <c r="D165" s="1"/>
      <c r="E165" s="1"/>
      <c r="F165" s="1"/>
      <c r="G165" s="1"/>
      <c r="H165" s="1"/>
      <c r="I165" s="3"/>
      <c r="J165" s="5"/>
      <c r="K165" s="1"/>
      <c r="L165" s="1"/>
      <c r="M165" s="1"/>
      <c r="N165" s="4"/>
    </row>
    <row r="166" spans="2:14" ht="60" customHeight="1" x14ac:dyDescent="0.35">
      <c r="B166" s="1"/>
      <c r="C166" s="1"/>
      <c r="D166" s="1"/>
      <c r="E166" s="1"/>
      <c r="F166" s="1"/>
      <c r="G166" s="1"/>
      <c r="H166" s="1"/>
      <c r="I166" s="3"/>
      <c r="J166" s="5"/>
      <c r="K166" s="1"/>
      <c r="L166" s="1"/>
      <c r="M166" s="1"/>
      <c r="N166" s="4"/>
    </row>
    <row r="167" spans="2:14" ht="60" customHeight="1" x14ac:dyDescent="0.35">
      <c r="B167" s="1"/>
      <c r="C167" s="1"/>
      <c r="D167" s="1"/>
      <c r="E167" s="1"/>
      <c r="F167" s="1"/>
      <c r="G167" s="1"/>
      <c r="H167" s="1"/>
      <c r="I167" s="3"/>
      <c r="J167" s="5"/>
      <c r="K167" s="1"/>
      <c r="L167" s="1"/>
      <c r="M167" s="1"/>
      <c r="N167" s="4"/>
    </row>
    <row r="168" spans="2:14" ht="60" customHeight="1" x14ac:dyDescent="0.35">
      <c r="B168" s="1"/>
      <c r="C168" s="1"/>
      <c r="D168" s="1"/>
      <c r="E168" s="1"/>
      <c r="F168" s="1"/>
      <c r="G168" s="1"/>
      <c r="H168" s="1"/>
      <c r="I168" s="3"/>
      <c r="J168" s="5"/>
      <c r="K168" s="1"/>
      <c r="L168" s="1"/>
      <c r="M168" s="1"/>
      <c r="N168" s="4"/>
    </row>
    <row r="169" spans="2:14" ht="60" customHeight="1" x14ac:dyDescent="0.35">
      <c r="B169" s="1"/>
      <c r="C169" s="1"/>
      <c r="D169" s="1"/>
      <c r="E169" s="1"/>
      <c r="F169" s="1"/>
      <c r="G169" s="1"/>
      <c r="H169" s="1"/>
      <c r="I169" s="3"/>
      <c r="J169" s="5"/>
      <c r="K169" s="1"/>
      <c r="L169" s="1"/>
      <c r="M169" s="1"/>
      <c r="N169" s="4"/>
    </row>
    <row r="170" spans="2:14" ht="60" customHeight="1" x14ac:dyDescent="0.35">
      <c r="B170" s="1"/>
      <c r="C170" s="1"/>
      <c r="D170" s="1"/>
      <c r="E170" s="1"/>
      <c r="F170" s="1"/>
      <c r="G170" s="1"/>
      <c r="H170" s="1"/>
      <c r="I170" s="3"/>
      <c r="J170" s="5"/>
      <c r="K170" s="1"/>
      <c r="L170" s="1"/>
      <c r="M170" s="1"/>
      <c r="N170" s="4"/>
    </row>
    <row r="171" spans="2:14" ht="60" customHeight="1" x14ac:dyDescent="0.35">
      <c r="B171" s="1"/>
      <c r="C171" s="1"/>
      <c r="D171" s="1"/>
      <c r="E171" s="1"/>
      <c r="F171" s="1"/>
      <c r="G171" s="1"/>
      <c r="H171" s="1"/>
      <c r="I171" s="3"/>
      <c r="J171" s="5"/>
      <c r="K171" s="1"/>
      <c r="L171" s="1"/>
      <c r="M171" s="1"/>
      <c r="N171" s="4"/>
    </row>
    <row r="172" spans="2:14" ht="60" customHeight="1" x14ac:dyDescent="0.35">
      <c r="B172" s="1"/>
      <c r="C172" s="1"/>
      <c r="D172" s="1"/>
      <c r="E172" s="1"/>
      <c r="F172" s="1"/>
      <c r="G172" s="1"/>
      <c r="H172" s="1"/>
      <c r="I172" s="3"/>
      <c r="J172" s="5"/>
      <c r="K172" s="1"/>
      <c r="L172" s="1"/>
      <c r="M172" s="1"/>
      <c r="N172" s="4"/>
    </row>
    <row r="173" spans="2:14" ht="60" customHeight="1" x14ac:dyDescent="0.35">
      <c r="B173" s="1"/>
      <c r="C173" s="1"/>
      <c r="D173" s="1"/>
      <c r="E173" s="1"/>
      <c r="F173" s="1"/>
      <c r="G173" s="1"/>
      <c r="H173" s="1"/>
      <c r="I173" s="3"/>
      <c r="J173" s="5"/>
      <c r="K173" s="1"/>
      <c r="L173" s="1"/>
      <c r="M173" s="1"/>
      <c r="N173" s="4"/>
    </row>
    <row r="174" spans="2:14" ht="60" customHeight="1" x14ac:dyDescent="0.35">
      <c r="B174" s="1"/>
      <c r="C174" s="1"/>
      <c r="D174" s="1"/>
      <c r="E174" s="1"/>
      <c r="F174" s="1"/>
      <c r="G174" s="1"/>
      <c r="H174" s="1"/>
      <c r="I174" s="3"/>
      <c r="J174" s="5"/>
      <c r="K174" s="1"/>
      <c r="L174" s="1"/>
      <c r="M174" s="1"/>
      <c r="N174" s="4"/>
    </row>
    <row r="175" spans="2:14" ht="60" customHeight="1" x14ac:dyDescent="0.35">
      <c r="B175" s="1"/>
      <c r="C175" s="1"/>
      <c r="D175" s="1"/>
      <c r="E175" s="1"/>
      <c r="F175" s="1"/>
      <c r="G175" s="1"/>
      <c r="H175" s="1"/>
      <c r="I175" s="3"/>
      <c r="J175" s="5"/>
      <c r="K175" s="1"/>
      <c r="L175" s="1"/>
      <c r="M175" s="1"/>
      <c r="N175" s="4"/>
    </row>
    <row r="176" spans="2:14" ht="60" customHeight="1" x14ac:dyDescent="0.35">
      <c r="B176" s="1"/>
      <c r="C176" s="1"/>
      <c r="D176" s="1"/>
      <c r="E176" s="1"/>
      <c r="F176" s="1"/>
      <c r="G176" s="1"/>
      <c r="H176" s="1"/>
      <c r="I176" s="3"/>
      <c r="J176" s="5"/>
      <c r="K176" s="1"/>
      <c r="L176" s="1"/>
      <c r="M176" s="1"/>
      <c r="N176" s="4"/>
    </row>
    <row r="177" spans="2:14" ht="60" customHeight="1" x14ac:dyDescent="0.35">
      <c r="B177" s="1"/>
      <c r="C177" s="1"/>
      <c r="D177" s="1"/>
      <c r="E177" s="1"/>
      <c r="F177" s="1"/>
      <c r="G177" s="1"/>
      <c r="H177" s="1"/>
      <c r="I177" s="3"/>
      <c r="J177" s="5"/>
      <c r="K177" s="1"/>
      <c r="L177" s="1"/>
      <c r="M177" s="1"/>
      <c r="N177" s="4"/>
    </row>
    <row r="178" spans="2:14" ht="60" customHeight="1" x14ac:dyDescent="0.35">
      <c r="B178" s="1"/>
      <c r="C178" s="1"/>
      <c r="D178" s="1"/>
      <c r="E178" s="1"/>
      <c r="F178" s="1"/>
      <c r="G178" s="1"/>
      <c r="H178" s="1"/>
      <c r="I178" s="3"/>
      <c r="J178" s="5"/>
      <c r="K178" s="1"/>
      <c r="L178" s="1"/>
      <c r="M178" s="1"/>
      <c r="N178" s="4"/>
    </row>
    <row r="179" spans="2:14" ht="60" customHeight="1" x14ac:dyDescent="0.35">
      <c r="B179" s="1"/>
      <c r="C179" s="1"/>
      <c r="D179" s="1"/>
      <c r="E179" s="1"/>
      <c r="F179" s="1"/>
      <c r="G179" s="1"/>
      <c r="H179" s="1"/>
      <c r="I179" s="3"/>
      <c r="J179" s="5"/>
      <c r="K179" s="1"/>
      <c r="L179" s="1"/>
      <c r="M179" s="1"/>
      <c r="N179" s="4"/>
    </row>
    <row r="180" spans="2:14" ht="60" customHeight="1" x14ac:dyDescent="0.35">
      <c r="B180" s="1"/>
      <c r="C180" s="1"/>
      <c r="D180" s="1"/>
      <c r="E180" s="1"/>
      <c r="F180" s="1"/>
      <c r="G180" s="1"/>
      <c r="H180" s="1"/>
      <c r="I180" s="3"/>
      <c r="J180" s="5"/>
      <c r="K180" s="1"/>
      <c r="L180" s="1"/>
      <c r="M180" s="1"/>
      <c r="N180" s="4"/>
    </row>
    <row r="181" spans="2:14" ht="60" customHeight="1" x14ac:dyDescent="0.35">
      <c r="B181" s="1"/>
      <c r="C181" s="1"/>
      <c r="D181" s="1"/>
      <c r="E181" s="1"/>
      <c r="F181" s="1"/>
      <c r="G181" s="1"/>
      <c r="H181" s="1"/>
      <c r="I181" s="3"/>
      <c r="J181" s="5"/>
      <c r="K181" s="1"/>
      <c r="L181" s="1"/>
      <c r="M181" s="1"/>
      <c r="N181" s="4"/>
    </row>
    <row r="182" spans="2:14" ht="60" customHeight="1" x14ac:dyDescent="0.35">
      <c r="B182" s="1"/>
      <c r="C182" s="1"/>
      <c r="D182" s="1"/>
      <c r="E182" s="1"/>
      <c r="F182" s="1"/>
      <c r="G182" s="1"/>
      <c r="H182" s="1"/>
      <c r="I182" s="3"/>
      <c r="J182" s="5"/>
      <c r="K182" s="1"/>
      <c r="L182" s="1"/>
      <c r="M182" s="1"/>
      <c r="N182" s="4"/>
    </row>
    <row r="183" spans="2:14" ht="60" customHeight="1" x14ac:dyDescent="0.35">
      <c r="B183" s="1"/>
      <c r="C183" s="1"/>
      <c r="D183" s="1"/>
      <c r="E183" s="1"/>
      <c r="F183" s="1"/>
      <c r="G183" s="1"/>
      <c r="H183" s="1"/>
      <c r="I183" s="3"/>
      <c r="J183" s="5"/>
      <c r="K183" s="1"/>
      <c r="L183" s="1"/>
      <c r="M183" s="1"/>
      <c r="N183" s="4"/>
    </row>
    <row r="184" spans="2:14" ht="60" customHeight="1" x14ac:dyDescent="0.35">
      <c r="B184" s="1"/>
      <c r="C184" s="1"/>
      <c r="D184" s="1"/>
      <c r="E184" s="1"/>
      <c r="F184" s="1"/>
      <c r="G184" s="1"/>
      <c r="H184" s="1"/>
      <c r="I184" s="3"/>
      <c r="J184" s="5"/>
      <c r="K184" s="1"/>
      <c r="L184" s="1"/>
      <c r="M184" s="1"/>
      <c r="N184" s="4"/>
    </row>
    <row r="185" spans="2:14" ht="60" customHeight="1" x14ac:dyDescent="0.35">
      <c r="B185" s="1"/>
      <c r="C185" s="1"/>
      <c r="D185" s="1"/>
      <c r="E185" s="1"/>
      <c r="F185" s="1"/>
      <c r="G185" s="1"/>
      <c r="H185" s="1"/>
      <c r="I185" s="3"/>
      <c r="J185" s="5"/>
      <c r="K185" s="1"/>
      <c r="L185" s="1"/>
      <c r="M185" s="1"/>
      <c r="N185" s="4"/>
    </row>
    <row r="186" spans="2:14" ht="60" customHeight="1" x14ac:dyDescent="0.35">
      <c r="B186" s="1"/>
      <c r="C186" s="1"/>
      <c r="D186" s="1"/>
      <c r="E186" s="1"/>
      <c r="F186" s="1"/>
      <c r="G186" s="1"/>
      <c r="H186" s="1"/>
      <c r="I186" s="3"/>
      <c r="J186" s="5"/>
      <c r="K186" s="1"/>
      <c r="L186" s="1"/>
      <c r="M186" s="1"/>
      <c r="N186" s="4"/>
    </row>
    <row r="187" spans="2:14" ht="60" customHeight="1" x14ac:dyDescent="0.35">
      <c r="B187" s="1"/>
      <c r="C187" s="1"/>
      <c r="D187" s="1"/>
      <c r="E187" s="1"/>
      <c r="F187" s="1"/>
      <c r="G187" s="1"/>
      <c r="H187" s="1"/>
      <c r="I187" s="3"/>
      <c r="J187" s="5"/>
      <c r="K187" s="1"/>
      <c r="L187" s="1"/>
      <c r="M187" s="1"/>
      <c r="N187" s="4"/>
    </row>
    <row r="188" spans="2:14" ht="60" customHeight="1" x14ac:dyDescent="0.35">
      <c r="B188" s="1"/>
      <c r="C188" s="1"/>
      <c r="D188" s="1"/>
      <c r="E188" s="1"/>
      <c r="F188" s="1"/>
      <c r="G188" s="1"/>
      <c r="H188" s="1"/>
      <c r="I188" s="3"/>
      <c r="J188" s="5"/>
      <c r="K188" s="1"/>
      <c r="L188" s="1"/>
      <c r="M188" s="1"/>
      <c r="N188" s="4"/>
    </row>
    <row r="189" spans="2:14" ht="60" customHeight="1" x14ac:dyDescent="0.35">
      <c r="B189" s="1"/>
      <c r="C189" s="1"/>
      <c r="D189" s="1"/>
      <c r="E189" s="1"/>
      <c r="F189" s="1"/>
      <c r="G189" s="1"/>
      <c r="H189" s="1"/>
      <c r="I189" s="3"/>
      <c r="J189" s="5"/>
      <c r="K189" s="1"/>
      <c r="L189" s="1"/>
      <c r="M189" s="1"/>
      <c r="N189" s="4"/>
    </row>
    <row r="190" spans="2:14" ht="60" customHeight="1" x14ac:dyDescent="0.35">
      <c r="B190" s="1"/>
      <c r="C190" s="1"/>
      <c r="D190" s="1"/>
      <c r="E190" s="1"/>
      <c r="F190" s="1"/>
      <c r="G190" s="1"/>
      <c r="H190" s="1"/>
      <c r="I190" s="3"/>
      <c r="J190" s="5"/>
      <c r="K190" s="1"/>
      <c r="L190" s="1"/>
      <c r="M190" s="1"/>
      <c r="N190" s="4"/>
    </row>
    <row r="191" spans="2:14" ht="60" customHeight="1" x14ac:dyDescent="0.35">
      <c r="B191" s="1"/>
      <c r="C191" s="1"/>
      <c r="D191" s="1"/>
      <c r="E191" s="1"/>
      <c r="F191" s="1"/>
      <c r="G191" s="1"/>
      <c r="H191" s="1"/>
      <c r="I191" s="3"/>
      <c r="J191" s="5"/>
      <c r="K191" s="1"/>
      <c r="L191" s="1"/>
      <c r="M191" s="1"/>
      <c r="N191" s="4"/>
    </row>
    <row r="192" spans="2:14" ht="60" customHeight="1" x14ac:dyDescent="0.35">
      <c r="B192" s="1"/>
      <c r="C192" s="1"/>
      <c r="D192" s="1"/>
      <c r="E192" s="1"/>
      <c r="F192" s="1"/>
      <c r="G192" s="1"/>
      <c r="H192" s="1"/>
      <c r="I192" s="3"/>
      <c r="J192" s="5"/>
      <c r="K192" s="1"/>
      <c r="L192" s="1"/>
      <c r="M192" s="1"/>
      <c r="N192" s="4"/>
    </row>
    <row r="193" spans="2:14" ht="60" customHeight="1" x14ac:dyDescent="0.35">
      <c r="B193" s="1"/>
      <c r="C193" s="1"/>
      <c r="D193" s="1"/>
      <c r="E193" s="1"/>
      <c r="F193" s="1"/>
      <c r="G193" s="1"/>
      <c r="H193" s="1"/>
      <c r="I193" s="3"/>
      <c r="J193" s="5"/>
      <c r="K193" s="1"/>
      <c r="L193" s="1"/>
      <c r="M193" s="1"/>
      <c r="N193" s="4"/>
    </row>
    <row r="194" spans="2:14" ht="60" customHeight="1" x14ac:dyDescent="0.35">
      <c r="B194" s="1"/>
      <c r="C194" s="1"/>
      <c r="D194" s="1"/>
      <c r="E194" s="1"/>
      <c r="F194" s="1"/>
      <c r="G194" s="1"/>
      <c r="H194" s="1"/>
      <c r="I194" s="1"/>
      <c r="J194" s="5"/>
      <c r="K194" s="1"/>
      <c r="L194" s="1"/>
      <c r="M194" s="1"/>
      <c r="N194" s="1"/>
    </row>
    <row r="195" spans="2:14" ht="60" customHeight="1" x14ac:dyDescent="0.35">
      <c r="B195" s="1"/>
      <c r="C195" s="1"/>
      <c r="D195" s="1"/>
      <c r="E195" s="1"/>
      <c r="F195" s="1"/>
      <c r="G195" s="1"/>
      <c r="H195" s="1"/>
      <c r="I195" s="1"/>
      <c r="J195" s="5"/>
      <c r="K195" s="1"/>
      <c r="M195" s="1"/>
      <c r="N195" s="1"/>
    </row>
    <row r="196" spans="2:14" ht="16.5" x14ac:dyDescent="0.35">
      <c r="B196" s="1"/>
      <c r="C196" s="1"/>
      <c r="D196" s="1"/>
      <c r="E196" s="1"/>
      <c r="F196" s="1"/>
      <c r="G196" s="1"/>
      <c r="H196" s="1"/>
      <c r="I196" s="1"/>
      <c r="J196" s="5"/>
      <c r="K196" s="1"/>
      <c r="M196" s="1"/>
      <c r="N196" s="1"/>
    </row>
    <row r="197" spans="2:14" ht="16.5" x14ac:dyDescent="0.35">
      <c r="B197" s="1"/>
      <c r="C197" s="1"/>
      <c r="D197" s="1"/>
      <c r="E197" s="1"/>
      <c r="F197" s="1"/>
      <c r="G197" s="1"/>
      <c r="H197" s="1"/>
      <c r="I197" s="1"/>
      <c r="J197" s="5"/>
      <c r="K197" s="1"/>
      <c r="M197" s="1"/>
      <c r="N197" s="1"/>
    </row>
    <row r="198" spans="2:14" ht="16.5" x14ac:dyDescent="0.35">
      <c r="B198" s="1"/>
      <c r="C198" s="1"/>
      <c r="D198" s="1"/>
      <c r="E198" s="1"/>
      <c r="F198" s="1"/>
      <c r="G198" s="1"/>
      <c r="H198" s="1"/>
      <c r="I198" s="1"/>
      <c r="J198" s="5"/>
      <c r="K198" s="1"/>
      <c r="M198" s="1"/>
      <c r="N198" s="1"/>
    </row>
  </sheetData>
  <autoFilter ref="E2:E22" xr:uid="{4540A7E7-3476-4A5A-826D-C19F260C073B}"/>
  <mergeCells count="1">
    <mergeCell ref="B1:N1"/>
  </mergeCells>
  <phoneticPr fontId="4" type="noConversion"/>
  <pageMargins left="0.7" right="0.7" top="0.75" bottom="0.75" header="0.3" footer="0.3"/>
  <pageSetup paperSize="9" scale="4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585FC-55FE-4F7A-9826-ADB18D5E4663}">
  <sheetPr>
    <tabColor theme="7" tint="0.39997558519241921"/>
  </sheetPr>
  <dimension ref="A1:N200"/>
  <sheetViews>
    <sheetView zoomScale="67" zoomScaleNormal="67" workbookViewId="0">
      <selection activeCell="I70" sqref="I70"/>
    </sheetView>
  </sheetViews>
  <sheetFormatPr defaultRowHeight="14.5" x14ac:dyDescent="0.35"/>
  <cols>
    <col min="2" max="2" width="8.1796875" customWidth="1"/>
    <col min="3" max="3" width="29.7265625" style="7" customWidth="1"/>
    <col min="4" max="4" width="41.6328125" customWidth="1"/>
    <col min="5" max="6" width="30.6328125" customWidth="1"/>
    <col min="7" max="7" width="36.1796875" customWidth="1"/>
    <col min="8" max="8" width="25.6328125" customWidth="1"/>
    <col min="9" max="11" width="15.6328125" customWidth="1"/>
    <col min="12" max="12" width="45.1796875" customWidth="1"/>
    <col min="13" max="13" width="12.81640625" customWidth="1"/>
    <col min="14" max="14" width="14.6328125" customWidth="1"/>
  </cols>
  <sheetData>
    <row r="1" spans="1:14" ht="32.5" x14ac:dyDescent="0.35">
      <c r="B1" s="64" t="s">
        <v>304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6"/>
    </row>
    <row r="2" spans="1:14" ht="33" x14ac:dyDescent="0.35">
      <c r="A2" s="7"/>
      <c r="B2" s="49" t="s">
        <v>0</v>
      </c>
      <c r="C2" s="49" t="s">
        <v>1</v>
      </c>
      <c r="D2" s="49" t="s">
        <v>4</v>
      </c>
      <c r="E2" s="49" t="s">
        <v>2</v>
      </c>
      <c r="F2" s="49" t="s">
        <v>3</v>
      </c>
      <c r="G2" s="50" t="s">
        <v>5</v>
      </c>
      <c r="H2" s="50" t="s">
        <v>6</v>
      </c>
      <c r="I2" s="50" t="s">
        <v>7</v>
      </c>
      <c r="J2" s="50" t="s">
        <v>8</v>
      </c>
      <c r="K2" s="50" t="s">
        <v>9</v>
      </c>
      <c r="L2" s="50" t="s">
        <v>10</v>
      </c>
      <c r="M2" s="50" t="s">
        <v>11</v>
      </c>
      <c r="N2" s="50" t="s">
        <v>12</v>
      </c>
    </row>
    <row r="3" spans="1:14" ht="16.5" x14ac:dyDescent="0.35">
      <c r="B3" s="8">
        <v>21</v>
      </c>
      <c r="C3" s="8" t="s">
        <v>164</v>
      </c>
      <c r="D3" s="9" t="s">
        <v>161</v>
      </c>
      <c r="E3" s="9" t="s">
        <v>160</v>
      </c>
      <c r="F3" s="9" t="s">
        <v>158</v>
      </c>
      <c r="G3" s="15" t="s">
        <v>162</v>
      </c>
      <c r="H3" s="12" t="s">
        <v>163</v>
      </c>
      <c r="I3" s="10">
        <f>DATE(2025,11,17)</f>
        <v>45978</v>
      </c>
      <c r="J3" s="10">
        <f>EDATE(Table13[[#This Row],[Ngày hiệu lực]],5*12)</f>
        <v>47804</v>
      </c>
      <c r="K3" s="8" t="s">
        <v>218</v>
      </c>
      <c r="L3" s="20" t="s">
        <v>216</v>
      </c>
      <c r="M3" s="11" t="s">
        <v>212</v>
      </c>
      <c r="N3" s="16" t="s">
        <v>209</v>
      </c>
    </row>
    <row r="4" spans="1:14" ht="33" x14ac:dyDescent="0.35">
      <c r="B4" s="8">
        <v>22</v>
      </c>
      <c r="C4" s="12" t="s">
        <v>166</v>
      </c>
      <c r="D4" s="17" t="s">
        <v>182</v>
      </c>
      <c r="E4" s="17" t="s">
        <v>183</v>
      </c>
      <c r="F4" s="9" t="s">
        <v>184</v>
      </c>
      <c r="G4" s="14" t="s">
        <v>194</v>
      </c>
      <c r="H4" s="8" t="s">
        <v>199</v>
      </c>
      <c r="I4" s="10">
        <f t="shared" ref="I4:I8" si="0">DATE(2025,12,11)</f>
        <v>46002</v>
      </c>
      <c r="J4" s="10">
        <f>EDATE(Table13[[#This Row],[Ngày hiệu lực]],5*12)</f>
        <v>47828</v>
      </c>
      <c r="K4" s="8" t="s">
        <v>185</v>
      </c>
      <c r="L4" s="20" t="s">
        <v>224</v>
      </c>
      <c r="M4" s="11" t="s">
        <v>219</v>
      </c>
      <c r="N4" s="16" t="s">
        <v>229</v>
      </c>
    </row>
    <row r="5" spans="1:14" ht="33" x14ac:dyDescent="0.35">
      <c r="B5" s="8">
        <v>23</v>
      </c>
      <c r="C5" s="12" t="s">
        <v>166</v>
      </c>
      <c r="D5" s="17" t="s">
        <v>182</v>
      </c>
      <c r="E5" s="17" t="s">
        <v>183</v>
      </c>
      <c r="F5" s="9" t="s">
        <v>186</v>
      </c>
      <c r="G5" s="14" t="s">
        <v>195</v>
      </c>
      <c r="H5" s="8" t="s">
        <v>199</v>
      </c>
      <c r="I5" s="10">
        <f t="shared" si="0"/>
        <v>46002</v>
      </c>
      <c r="J5" s="10">
        <f>EDATE(Table13[[#This Row],[Ngày hiệu lực]],5*12)</f>
        <v>47828</v>
      </c>
      <c r="K5" s="8" t="s">
        <v>190</v>
      </c>
      <c r="L5" s="20" t="s">
        <v>225</v>
      </c>
      <c r="M5" s="11" t="s">
        <v>220</v>
      </c>
      <c r="N5" s="16" t="s">
        <v>230</v>
      </c>
    </row>
    <row r="6" spans="1:14" ht="33" x14ac:dyDescent="0.35">
      <c r="B6" s="8">
        <v>24</v>
      </c>
      <c r="C6" s="12" t="s">
        <v>166</v>
      </c>
      <c r="D6" s="17" t="s">
        <v>182</v>
      </c>
      <c r="E6" s="17" t="s">
        <v>183</v>
      </c>
      <c r="F6" s="9" t="s">
        <v>187</v>
      </c>
      <c r="G6" s="14" t="s">
        <v>196</v>
      </c>
      <c r="H6" s="8" t="s">
        <v>199</v>
      </c>
      <c r="I6" s="10">
        <f t="shared" si="0"/>
        <v>46002</v>
      </c>
      <c r="J6" s="10">
        <f>EDATE(Table13[[#This Row],[Ngày hiệu lực]],5*12)</f>
        <v>47828</v>
      </c>
      <c r="K6" s="8" t="s">
        <v>191</v>
      </c>
      <c r="L6" s="20" t="s">
        <v>226</v>
      </c>
      <c r="M6" s="11" t="s">
        <v>221</v>
      </c>
      <c r="N6" s="16" t="s">
        <v>231</v>
      </c>
    </row>
    <row r="7" spans="1:14" ht="33" x14ac:dyDescent="0.35">
      <c r="B7" s="8">
        <v>25</v>
      </c>
      <c r="C7" s="12" t="s">
        <v>166</v>
      </c>
      <c r="D7" s="17" t="s">
        <v>182</v>
      </c>
      <c r="E7" s="17" t="s">
        <v>183</v>
      </c>
      <c r="F7" s="9" t="s">
        <v>188</v>
      </c>
      <c r="G7" s="14" t="s">
        <v>197</v>
      </c>
      <c r="H7" s="8" t="s">
        <v>199</v>
      </c>
      <c r="I7" s="10">
        <f t="shared" si="0"/>
        <v>46002</v>
      </c>
      <c r="J7" s="10">
        <f>EDATE(Table13[[#This Row],[Ngày hiệu lực]],5*12)</f>
        <v>47828</v>
      </c>
      <c r="K7" s="8" t="s">
        <v>192</v>
      </c>
      <c r="L7" s="20" t="s">
        <v>227</v>
      </c>
      <c r="M7" s="11" t="s">
        <v>222</v>
      </c>
      <c r="N7" s="16" t="s">
        <v>232</v>
      </c>
    </row>
    <row r="8" spans="1:14" ht="33" x14ac:dyDescent="0.35">
      <c r="B8" s="8">
        <v>26</v>
      </c>
      <c r="C8" s="12" t="s">
        <v>166</v>
      </c>
      <c r="D8" s="17" t="s">
        <v>182</v>
      </c>
      <c r="E8" s="17" t="s">
        <v>183</v>
      </c>
      <c r="F8" s="9" t="s">
        <v>189</v>
      </c>
      <c r="G8" s="14" t="s">
        <v>198</v>
      </c>
      <c r="H8" s="8" t="s">
        <v>199</v>
      </c>
      <c r="I8" s="10">
        <f t="shared" si="0"/>
        <v>46002</v>
      </c>
      <c r="J8" s="10">
        <f>EDATE(Table13[[#This Row],[Ngày hiệu lực]],5*12)</f>
        <v>47828</v>
      </c>
      <c r="K8" s="8" t="s">
        <v>193</v>
      </c>
      <c r="L8" s="20" t="s">
        <v>228</v>
      </c>
      <c r="M8" s="11" t="s">
        <v>223</v>
      </c>
      <c r="N8" s="16" t="s">
        <v>233</v>
      </c>
    </row>
    <row r="9" spans="1:14" ht="33" x14ac:dyDescent="0.35">
      <c r="B9" s="8">
        <v>27</v>
      </c>
      <c r="C9" s="12" t="s">
        <v>234</v>
      </c>
      <c r="D9" s="17" t="s">
        <v>139</v>
      </c>
      <c r="E9" s="17" t="s">
        <v>140</v>
      </c>
      <c r="F9" s="9" t="s">
        <v>252</v>
      </c>
      <c r="G9" s="14" t="s">
        <v>141</v>
      </c>
      <c r="H9" s="8" t="s">
        <v>142</v>
      </c>
      <c r="I9" s="10">
        <f>DATE(2025,9,22)</f>
        <v>45922</v>
      </c>
      <c r="J9" s="10">
        <f>EDATE(Table13[[#This Row],[Ngày hiệu lực]],5*12)</f>
        <v>47748</v>
      </c>
      <c r="K9" s="8" t="s">
        <v>255</v>
      </c>
      <c r="L9" s="20" t="s">
        <v>239</v>
      </c>
      <c r="M9" s="21" t="s">
        <v>238</v>
      </c>
      <c r="N9" s="16" t="s">
        <v>235</v>
      </c>
    </row>
    <row r="10" spans="1:14" ht="33" x14ac:dyDescent="0.35">
      <c r="B10" s="8">
        <v>28</v>
      </c>
      <c r="C10" s="12" t="s">
        <v>234</v>
      </c>
      <c r="D10" s="17" t="s">
        <v>139</v>
      </c>
      <c r="E10" s="17" t="s">
        <v>140</v>
      </c>
      <c r="F10" s="13" t="s">
        <v>16</v>
      </c>
      <c r="G10" s="15" t="s">
        <v>83</v>
      </c>
      <c r="H10" s="12" t="s">
        <v>143</v>
      </c>
      <c r="I10" s="10">
        <f>DATE(2025,9,22)</f>
        <v>45922</v>
      </c>
      <c r="J10" s="10">
        <f>EDATE(Table13[[#This Row],[Ngày hiệu lực]],5*12)</f>
        <v>47748</v>
      </c>
      <c r="K10" s="8" t="s">
        <v>256</v>
      </c>
      <c r="L10" s="20" t="s">
        <v>240</v>
      </c>
      <c r="M10" s="21" t="s">
        <v>238</v>
      </c>
      <c r="N10" s="16" t="s">
        <v>236</v>
      </c>
    </row>
    <row r="11" spans="1:14" ht="33" x14ac:dyDescent="0.35">
      <c r="B11" s="8">
        <v>29</v>
      </c>
      <c r="C11" s="12" t="s">
        <v>234</v>
      </c>
      <c r="D11" s="18" t="s">
        <v>139</v>
      </c>
      <c r="E11" s="18" t="s">
        <v>140</v>
      </c>
      <c r="F11" s="9" t="s">
        <v>242</v>
      </c>
      <c r="G11" s="9" t="s">
        <v>77</v>
      </c>
      <c r="H11" s="8" t="s">
        <v>144</v>
      </c>
      <c r="I11" s="10">
        <f>DATE(2025,9,22)</f>
        <v>45922</v>
      </c>
      <c r="J11" s="10">
        <f>EDATE(Table13[[#This Row],[Ngày hiệu lực]],5*12)</f>
        <v>47748</v>
      </c>
      <c r="K11" s="8" t="s">
        <v>257</v>
      </c>
      <c r="L11" s="20" t="s">
        <v>241</v>
      </c>
      <c r="M11" s="21" t="s">
        <v>238</v>
      </c>
      <c r="N11" s="16" t="s">
        <v>237</v>
      </c>
    </row>
    <row r="12" spans="1:14" ht="33" x14ac:dyDescent="0.35">
      <c r="B12" s="8">
        <v>30</v>
      </c>
      <c r="C12" s="8" t="s">
        <v>13</v>
      </c>
      <c r="D12" s="9" t="s">
        <v>14</v>
      </c>
      <c r="E12" s="9" t="s">
        <v>15</v>
      </c>
      <c r="F12" s="9" t="s">
        <v>130</v>
      </c>
      <c r="G12" s="14" t="s">
        <v>131</v>
      </c>
      <c r="H12" s="8" t="s">
        <v>132</v>
      </c>
      <c r="I12" s="10">
        <f>DATE(2025,11,1)</f>
        <v>45962</v>
      </c>
      <c r="J12" s="10">
        <f>EDATE(Table13[[#This Row],[Ngày hiệu lực]],5*12)</f>
        <v>47788</v>
      </c>
      <c r="K12" s="8" t="s">
        <v>267</v>
      </c>
      <c r="L12" s="20" t="s">
        <v>250</v>
      </c>
      <c r="M12" s="21" t="s">
        <v>253</v>
      </c>
      <c r="N12" s="26" t="s">
        <v>251</v>
      </c>
    </row>
    <row r="13" spans="1:14" ht="33" x14ac:dyDescent="0.35">
      <c r="B13" s="8">
        <v>31</v>
      </c>
      <c r="C13" s="23" t="s">
        <v>165</v>
      </c>
      <c r="D13" s="24" t="s">
        <v>167</v>
      </c>
      <c r="E13" s="24" t="s">
        <v>173</v>
      </c>
      <c r="F13" s="20" t="s">
        <v>175</v>
      </c>
      <c r="G13" s="19" t="s">
        <v>176</v>
      </c>
      <c r="H13" s="22" t="s">
        <v>177</v>
      </c>
      <c r="I13" s="25">
        <f>DATE(2025,12,11)</f>
        <v>46002</v>
      </c>
      <c r="J13" s="25">
        <f>EDATE(Table13[[#This Row],[Ngày hiệu lực]],5*12)</f>
        <v>47828</v>
      </c>
      <c r="K13" s="22" t="s">
        <v>178</v>
      </c>
      <c r="L13" s="20" t="s">
        <v>259</v>
      </c>
      <c r="M13" s="21" t="s">
        <v>258</v>
      </c>
      <c r="N13" s="16" t="s">
        <v>261</v>
      </c>
    </row>
    <row r="14" spans="1:14" ht="33" x14ac:dyDescent="0.35">
      <c r="A14" s="27"/>
      <c r="B14" s="8">
        <v>32</v>
      </c>
      <c r="C14" s="23" t="s">
        <v>165</v>
      </c>
      <c r="D14" s="24" t="s">
        <v>167</v>
      </c>
      <c r="E14" s="24" t="s">
        <v>173</v>
      </c>
      <c r="F14" s="20" t="s">
        <v>157</v>
      </c>
      <c r="G14" s="19" t="s">
        <v>179</v>
      </c>
      <c r="H14" s="22" t="s">
        <v>180</v>
      </c>
      <c r="I14" s="25">
        <f>DATE(2025,12,11)</f>
        <v>46002</v>
      </c>
      <c r="J14" s="25">
        <f>EDATE(Table13[[#This Row],[Ngày hiệu lực]],5*12)</f>
        <v>47828</v>
      </c>
      <c r="K14" s="22" t="s">
        <v>181</v>
      </c>
      <c r="L14" s="20" t="s">
        <v>260</v>
      </c>
      <c r="M14" s="21" t="s">
        <v>258</v>
      </c>
      <c r="N14" s="26" t="s">
        <v>262</v>
      </c>
    </row>
    <row r="15" spans="1:14" ht="16.5" x14ac:dyDescent="0.35">
      <c r="A15" s="27"/>
      <c r="B15" s="8">
        <v>33</v>
      </c>
      <c r="C15" s="8" t="s">
        <v>164</v>
      </c>
      <c r="D15" s="9" t="s">
        <v>161</v>
      </c>
      <c r="E15" s="9" t="s">
        <v>160</v>
      </c>
      <c r="F15" s="9" t="s">
        <v>217</v>
      </c>
      <c r="G15" s="14" t="s">
        <v>214</v>
      </c>
      <c r="H15" s="8" t="s">
        <v>215</v>
      </c>
      <c r="I15" s="10">
        <f>DATE(2025,12,16)</f>
        <v>46007</v>
      </c>
      <c r="J15" s="10">
        <f t="shared" ref="J15:J24" si="1">EDATE(I15,5*12)</f>
        <v>47833</v>
      </c>
      <c r="K15" s="22" t="s">
        <v>265</v>
      </c>
      <c r="L15" s="20" t="s">
        <v>264</v>
      </c>
      <c r="M15" s="8">
        <v>100126</v>
      </c>
      <c r="N15" s="16" t="s">
        <v>263</v>
      </c>
    </row>
    <row r="16" spans="1:14" ht="33" x14ac:dyDescent="0.35">
      <c r="A16" s="27"/>
      <c r="B16" s="8">
        <v>34</v>
      </c>
      <c r="C16" s="8" t="s">
        <v>211</v>
      </c>
      <c r="D16" s="18" t="s">
        <v>200</v>
      </c>
      <c r="E16" s="18" t="s">
        <v>201</v>
      </c>
      <c r="F16" s="18" t="s">
        <v>249</v>
      </c>
      <c r="G16" s="9" t="s">
        <v>274</v>
      </c>
      <c r="H16" s="8" t="s">
        <v>279</v>
      </c>
      <c r="I16" s="10">
        <f>DATE(2026,2,13)</f>
        <v>46066</v>
      </c>
      <c r="J16" s="10">
        <f t="shared" si="1"/>
        <v>47892</v>
      </c>
      <c r="K16" s="22" t="s">
        <v>282</v>
      </c>
      <c r="L16" s="20" t="s">
        <v>284</v>
      </c>
      <c r="M16" s="52"/>
      <c r="N16" s="26" t="s">
        <v>287</v>
      </c>
    </row>
    <row r="17" spans="1:14" ht="33" x14ac:dyDescent="0.35">
      <c r="A17" s="27"/>
      <c r="B17" s="8">
        <v>35</v>
      </c>
      <c r="C17" s="8" t="s">
        <v>276</v>
      </c>
      <c r="D17" s="9" t="s">
        <v>280</v>
      </c>
      <c r="E17" s="9" t="s">
        <v>277</v>
      </c>
      <c r="F17" s="9" t="s">
        <v>249</v>
      </c>
      <c r="G17" s="9" t="s">
        <v>278</v>
      </c>
      <c r="H17" s="8" t="s">
        <v>275</v>
      </c>
      <c r="I17" s="10">
        <f>DATE(2026,2,13)</f>
        <v>46066</v>
      </c>
      <c r="J17" s="10">
        <f t="shared" si="1"/>
        <v>47892</v>
      </c>
      <c r="K17" s="22" t="s">
        <v>283</v>
      </c>
      <c r="L17" s="20" t="s">
        <v>285</v>
      </c>
      <c r="M17" s="52"/>
      <c r="N17" s="16" t="s">
        <v>288</v>
      </c>
    </row>
    <row r="18" spans="1:14" ht="33" x14ac:dyDescent="0.35">
      <c r="A18" s="27"/>
      <c r="B18" s="8">
        <v>36</v>
      </c>
      <c r="C18" s="8" t="s">
        <v>13</v>
      </c>
      <c r="D18" s="9" t="s">
        <v>273</v>
      </c>
      <c r="E18" s="9" t="s">
        <v>15</v>
      </c>
      <c r="F18" s="9" t="s">
        <v>270</v>
      </c>
      <c r="G18" s="14" t="s">
        <v>271</v>
      </c>
      <c r="H18" s="8" t="s">
        <v>272</v>
      </c>
      <c r="I18" s="10">
        <f>DATE(2026,2,13)</f>
        <v>46066</v>
      </c>
      <c r="J18" s="10">
        <f t="shared" si="1"/>
        <v>47892</v>
      </c>
      <c r="K18" s="22" t="s">
        <v>281</v>
      </c>
      <c r="L18" s="20" t="s">
        <v>286</v>
      </c>
      <c r="M18" s="52"/>
      <c r="N18" s="26" t="s">
        <v>289</v>
      </c>
    </row>
    <row r="19" spans="1:14" ht="33" x14ac:dyDescent="0.35">
      <c r="A19" s="27"/>
      <c r="B19" s="8">
        <v>37</v>
      </c>
      <c r="C19" s="8" t="s">
        <v>211</v>
      </c>
      <c r="D19" s="18" t="s">
        <v>200</v>
      </c>
      <c r="E19" s="18" t="s">
        <v>201</v>
      </c>
      <c r="F19" s="9" t="s">
        <v>22</v>
      </c>
      <c r="G19" s="14" t="s">
        <v>290</v>
      </c>
      <c r="H19" s="8" t="s">
        <v>291</v>
      </c>
      <c r="I19" s="10">
        <f>DATE(2026,1,30)</f>
        <v>46052</v>
      </c>
      <c r="J19" s="10">
        <f t="shared" si="1"/>
        <v>47878</v>
      </c>
      <c r="K19" s="52"/>
      <c r="L19" s="54"/>
      <c r="M19" s="52"/>
      <c r="N19" s="16"/>
    </row>
    <row r="20" spans="1:14" ht="33" x14ac:dyDescent="0.35">
      <c r="A20" s="27"/>
      <c r="B20" s="8">
        <v>38</v>
      </c>
      <c r="C20" s="8" t="s">
        <v>292</v>
      </c>
      <c r="D20" s="9" t="s">
        <v>296</v>
      </c>
      <c r="E20" s="9" t="s">
        <v>293</v>
      </c>
      <c r="F20" s="9" t="s">
        <v>50</v>
      </c>
      <c r="G20" s="14" t="s">
        <v>294</v>
      </c>
      <c r="H20" s="8" t="s">
        <v>295</v>
      </c>
      <c r="I20" s="10">
        <f>DATE(2026,1,20)</f>
        <v>46042</v>
      </c>
      <c r="J20" s="10">
        <f t="shared" si="1"/>
        <v>47868</v>
      </c>
      <c r="K20" s="52"/>
      <c r="L20" s="54"/>
      <c r="M20" s="52"/>
      <c r="N20" s="16"/>
    </row>
    <row r="21" spans="1:14" ht="33" x14ac:dyDescent="0.35">
      <c r="A21" s="27"/>
      <c r="B21" s="8">
        <v>39</v>
      </c>
      <c r="C21" s="8" t="s">
        <v>292</v>
      </c>
      <c r="D21" s="9" t="s">
        <v>296</v>
      </c>
      <c r="E21" s="9" t="s">
        <v>293</v>
      </c>
      <c r="F21" s="9" t="s">
        <v>202</v>
      </c>
      <c r="G21" s="14" t="s">
        <v>297</v>
      </c>
      <c r="H21" s="8" t="s">
        <v>298</v>
      </c>
      <c r="I21" s="10">
        <f>DATE(2026,1,20)</f>
        <v>46042</v>
      </c>
      <c r="J21" s="10">
        <f t="shared" si="1"/>
        <v>47868</v>
      </c>
      <c r="K21" s="52"/>
      <c r="L21" s="54"/>
      <c r="M21" s="52"/>
      <c r="N21" s="16"/>
    </row>
    <row r="22" spans="1:14" ht="33" x14ac:dyDescent="0.35">
      <c r="A22" s="27"/>
      <c r="B22" s="8">
        <v>40</v>
      </c>
      <c r="C22" s="8" t="s">
        <v>292</v>
      </c>
      <c r="D22" s="9" t="s">
        <v>296</v>
      </c>
      <c r="E22" s="9" t="s">
        <v>293</v>
      </c>
      <c r="F22" s="9" t="s">
        <v>299</v>
      </c>
      <c r="G22" s="14" t="s">
        <v>300</v>
      </c>
      <c r="H22" s="8" t="s">
        <v>301</v>
      </c>
      <c r="I22" s="10">
        <f>DATE(2026,1,20)</f>
        <v>46042</v>
      </c>
      <c r="J22" s="10">
        <f t="shared" si="1"/>
        <v>47868</v>
      </c>
      <c r="K22" s="52"/>
      <c r="L22" s="54"/>
      <c r="M22" s="52"/>
      <c r="N22" s="16"/>
    </row>
    <row r="23" spans="1:14" ht="33" x14ac:dyDescent="0.35">
      <c r="A23" s="58"/>
      <c r="B23" s="52"/>
      <c r="C23" s="52" t="s">
        <v>211</v>
      </c>
      <c r="D23" s="53" t="s">
        <v>200</v>
      </c>
      <c r="E23" s="53" t="s">
        <v>201</v>
      </c>
      <c r="F23" s="54" t="s">
        <v>207</v>
      </c>
      <c r="G23" s="55" t="s">
        <v>207</v>
      </c>
      <c r="H23" s="52" t="s">
        <v>208</v>
      </c>
      <c r="I23" s="56">
        <f>DATE(2025,12,18)</f>
        <v>46009</v>
      </c>
      <c r="J23" s="56">
        <f t="shared" si="1"/>
        <v>47835</v>
      </c>
      <c r="K23" s="52"/>
      <c r="L23" s="54"/>
      <c r="M23" s="52"/>
      <c r="N23" s="57"/>
    </row>
    <row r="24" spans="1:14" ht="16.5" x14ac:dyDescent="0.35">
      <c r="B24" s="8"/>
      <c r="C24" s="8" t="s">
        <v>133</v>
      </c>
      <c r="D24" s="9" t="s">
        <v>134</v>
      </c>
      <c r="E24" s="9" t="s">
        <v>135</v>
      </c>
      <c r="F24" s="9" t="s">
        <v>136</v>
      </c>
      <c r="G24" s="14" t="s">
        <v>137</v>
      </c>
      <c r="H24" s="8" t="s">
        <v>138</v>
      </c>
      <c r="I24" s="10">
        <f>DATE(2025,11,12)</f>
        <v>45973</v>
      </c>
      <c r="J24" s="10">
        <f t="shared" si="1"/>
        <v>47799</v>
      </c>
      <c r="K24" s="8"/>
      <c r="L24" s="9"/>
      <c r="M24" s="8"/>
      <c r="N24" s="11"/>
    </row>
    <row r="25" spans="1:14" ht="16.5" x14ac:dyDescent="0.35">
      <c r="B25" s="1"/>
      <c r="C25" s="1"/>
      <c r="D25" s="2"/>
      <c r="E25" s="2"/>
      <c r="F25" s="2"/>
      <c r="G25" s="2"/>
      <c r="H25" s="1"/>
      <c r="I25" s="1"/>
      <c r="J25" s="1"/>
      <c r="K25" s="1"/>
      <c r="L25" s="2"/>
      <c r="M25" s="1"/>
      <c r="N25" s="4"/>
    </row>
    <row r="26" spans="1:14" ht="16.5" x14ac:dyDescent="0.35">
      <c r="B26" s="1"/>
      <c r="C26" s="1"/>
      <c r="D26" s="2"/>
      <c r="E26" s="2"/>
      <c r="F26" s="2"/>
      <c r="G26" s="2"/>
      <c r="H26" s="1"/>
      <c r="I26" s="3"/>
      <c r="J26" s="3"/>
      <c r="K26" s="1"/>
      <c r="L26" s="6" t="s">
        <v>145</v>
      </c>
      <c r="M26" s="1"/>
      <c r="N26" s="1"/>
    </row>
    <row r="27" spans="1:14" ht="16.5" x14ac:dyDescent="0.35">
      <c r="B27" s="1"/>
      <c r="C27" s="1"/>
      <c r="D27" s="2"/>
      <c r="E27" s="2"/>
      <c r="F27" s="2"/>
      <c r="G27" s="2"/>
      <c r="H27" s="1"/>
      <c r="I27" s="3" t="s">
        <v>159</v>
      </c>
      <c r="J27" s="3"/>
      <c r="K27" s="1"/>
      <c r="L27" s="1"/>
      <c r="M27" s="1"/>
      <c r="N27" s="1"/>
    </row>
    <row r="28" spans="1:14" ht="16.5" x14ac:dyDescent="0.35">
      <c r="B28" s="1"/>
      <c r="C28" s="1"/>
      <c r="D28" s="2"/>
      <c r="E28" s="2"/>
      <c r="F28" s="2"/>
      <c r="G28" s="2"/>
      <c r="H28" s="1"/>
      <c r="I28" s="3"/>
      <c r="J28" s="3"/>
      <c r="K28" s="1"/>
      <c r="L28" s="6" t="s">
        <v>146</v>
      </c>
      <c r="M28" s="1"/>
      <c r="N28" s="1"/>
    </row>
    <row r="29" spans="1:14" ht="16.5" x14ac:dyDescent="0.35">
      <c r="B29" s="1"/>
      <c r="C29" s="1"/>
      <c r="D29" s="2"/>
      <c r="E29" s="2"/>
      <c r="F29" s="2"/>
      <c r="G29" s="2"/>
      <c r="H29" s="1"/>
      <c r="I29" s="3"/>
      <c r="J29" s="3"/>
      <c r="K29" s="1"/>
      <c r="L29" s="1"/>
      <c r="M29" s="1"/>
      <c r="N29" s="4"/>
    </row>
    <row r="30" spans="1:14" ht="16.5" x14ac:dyDescent="0.35">
      <c r="B30" s="1"/>
      <c r="C30" s="1"/>
      <c r="D30" s="2"/>
      <c r="E30" s="2"/>
      <c r="F30" s="2"/>
      <c r="G30" s="2"/>
      <c r="H30" s="1"/>
      <c r="I30" s="3"/>
      <c r="J30" s="3"/>
      <c r="K30" s="1"/>
      <c r="L30" s="1"/>
      <c r="M30" s="1"/>
      <c r="N30" s="4"/>
    </row>
    <row r="31" spans="1:14" ht="16.5" x14ac:dyDescent="0.35">
      <c r="B31" s="1"/>
      <c r="C31" s="1"/>
      <c r="L31" s="1"/>
      <c r="M31" s="4"/>
      <c r="N31" s="4"/>
    </row>
    <row r="32" spans="1:14" ht="16.5" x14ac:dyDescent="0.35">
      <c r="B32" s="1"/>
      <c r="C32" s="1"/>
      <c r="L32" s="1"/>
      <c r="M32" s="4"/>
      <c r="N32" s="4"/>
    </row>
    <row r="33" spans="2:14" ht="16.5" x14ac:dyDescent="0.35">
      <c r="B33" s="1"/>
      <c r="C33" s="1"/>
      <c r="L33" s="1"/>
      <c r="M33" s="4"/>
      <c r="N33" s="4"/>
    </row>
    <row r="34" spans="2:14" ht="16.5" x14ac:dyDescent="0.35">
      <c r="B34" s="1"/>
      <c r="C34" s="1"/>
      <c r="D34" s="2"/>
      <c r="E34" s="2"/>
      <c r="F34" s="2"/>
      <c r="G34" s="2"/>
      <c r="H34" s="1"/>
      <c r="I34" s="3"/>
      <c r="J34" s="3"/>
      <c r="K34" s="1"/>
      <c r="L34" s="1"/>
      <c r="M34" s="4"/>
      <c r="N34" s="4"/>
    </row>
    <row r="35" spans="2:14" ht="16.5" x14ac:dyDescent="0.35">
      <c r="B35" s="1"/>
      <c r="C35" s="1"/>
      <c r="D35" s="2"/>
      <c r="E35" s="2"/>
      <c r="F35" s="2"/>
      <c r="G35" s="2"/>
      <c r="H35" s="1"/>
      <c r="I35" s="3"/>
      <c r="J35" s="3"/>
      <c r="K35" s="1"/>
      <c r="M35" s="4"/>
      <c r="N35" s="4"/>
    </row>
    <row r="36" spans="2:14" ht="16.5" x14ac:dyDescent="0.35">
      <c r="B36" s="1"/>
      <c r="C36" s="1"/>
      <c r="D36" s="2"/>
      <c r="E36" s="2"/>
      <c r="F36" s="2"/>
      <c r="G36" s="2"/>
      <c r="H36" s="1"/>
      <c r="I36" s="3"/>
      <c r="J36" s="3"/>
      <c r="K36" s="1"/>
      <c r="M36" s="4"/>
      <c r="N36" s="4"/>
    </row>
    <row r="37" spans="2:14" ht="16.5" x14ac:dyDescent="0.35">
      <c r="B37" s="1"/>
      <c r="C37" s="1"/>
      <c r="D37" s="2"/>
      <c r="E37" s="2"/>
      <c r="F37" s="2"/>
      <c r="G37" s="2"/>
      <c r="H37" s="1"/>
      <c r="I37" s="3"/>
      <c r="J37" s="3"/>
      <c r="K37" s="1"/>
      <c r="M37" s="4"/>
      <c r="N37" s="4"/>
    </row>
    <row r="38" spans="2:14" ht="16.5" x14ac:dyDescent="0.35">
      <c r="B38" s="1"/>
      <c r="C38" s="1"/>
      <c r="D38" s="2"/>
      <c r="E38" s="2"/>
      <c r="F38" s="2"/>
      <c r="G38" s="2"/>
      <c r="H38" s="1"/>
      <c r="I38" s="3"/>
      <c r="J38" s="3"/>
      <c r="K38" s="1"/>
      <c r="M38" s="4"/>
      <c r="N38" s="4"/>
    </row>
    <row r="39" spans="2:14" ht="16.5" x14ac:dyDescent="0.35">
      <c r="B39" s="1"/>
      <c r="C39" s="1"/>
      <c r="D39" s="2"/>
      <c r="E39" s="2"/>
      <c r="F39" s="2"/>
      <c r="G39" s="2"/>
      <c r="H39" s="1"/>
      <c r="I39" s="3"/>
      <c r="J39" s="3"/>
      <c r="K39" s="1"/>
      <c r="M39" s="4"/>
      <c r="N39" s="4"/>
    </row>
    <row r="40" spans="2:14" ht="16.5" x14ac:dyDescent="0.35">
      <c r="B40" s="1"/>
      <c r="C40" s="1"/>
      <c r="D40" s="2"/>
      <c r="E40" s="2"/>
      <c r="F40" s="2"/>
      <c r="G40" s="2"/>
      <c r="H40" s="1"/>
      <c r="I40" s="3"/>
      <c r="J40" s="3"/>
      <c r="K40" s="1"/>
      <c r="M40" s="4"/>
      <c r="N40" s="4"/>
    </row>
    <row r="41" spans="2:14" ht="16.5" x14ac:dyDescent="0.35">
      <c r="B41" s="1"/>
      <c r="C41" s="1"/>
      <c r="D41" s="2"/>
      <c r="E41" s="2"/>
      <c r="F41" s="2"/>
      <c r="G41" s="2"/>
      <c r="H41" s="1"/>
      <c r="I41" s="3"/>
      <c r="J41" s="3"/>
      <c r="K41" s="1"/>
      <c r="M41" s="4"/>
      <c r="N41" s="4"/>
    </row>
    <row r="42" spans="2:14" ht="16.5" x14ac:dyDescent="0.35">
      <c r="B42" s="1"/>
      <c r="C42" s="1"/>
      <c r="D42" s="2"/>
      <c r="E42" s="2"/>
      <c r="F42" s="2"/>
      <c r="G42" s="2"/>
      <c r="H42" s="1"/>
      <c r="I42" s="3"/>
      <c r="J42" s="3"/>
      <c r="K42" s="1"/>
      <c r="M42" s="4"/>
      <c r="N42" s="4"/>
    </row>
    <row r="43" spans="2:14" ht="16.5" x14ac:dyDescent="0.35">
      <c r="B43" s="1"/>
      <c r="C43" s="1"/>
      <c r="D43" s="2"/>
      <c r="E43" s="2"/>
      <c r="F43" s="2"/>
      <c r="G43" s="2"/>
      <c r="H43" s="1"/>
      <c r="I43" s="3"/>
      <c r="J43" s="3"/>
      <c r="K43" s="1"/>
      <c r="L43" s="1"/>
      <c r="M43" s="4"/>
      <c r="N43" s="4"/>
    </row>
    <row r="44" spans="2:14" ht="16.5" x14ac:dyDescent="0.35">
      <c r="B44" s="1"/>
      <c r="C44" s="1"/>
      <c r="D44" s="2"/>
      <c r="E44" s="2"/>
      <c r="F44" s="2"/>
      <c r="G44" s="2"/>
      <c r="H44" s="1"/>
      <c r="I44" s="3"/>
      <c r="J44" s="3"/>
      <c r="K44" s="1"/>
      <c r="L44" s="1"/>
      <c r="M44" s="4"/>
      <c r="N44" s="4"/>
    </row>
    <row r="45" spans="2:14" ht="16.5" x14ac:dyDescent="0.35">
      <c r="B45" s="1"/>
      <c r="C45" s="1"/>
      <c r="D45" s="2"/>
      <c r="E45" s="2"/>
      <c r="F45" s="2"/>
      <c r="G45" s="2"/>
      <c r="H45" s="1"/>
      <c r="I45" s="3"/>
      <c r="J45" s="3"/>
      <c r="K45" s="1"/>
      <c r="L45" s="1"/>
      <c r="M45" s="4"/>
      <c r="N45" s="4"/>
    </row>
    <row r="46" spans="2:14" ht="16.5" x14ac:dyDescent="0.35">
      <c r="B46" s="1"/>
      <c r="C46" s="1"/>
      <c r="D46" s="2"/>
      <c r="E46" s="2"/>
      <c r="F46" s="2"/>
      <c r="G46" s="2"/>
      <c r="H46" s="1"/>
      <c r="I46" s="3"/>
      <c r="J46" s="3"/>
      <c r="K46" s="1"/>
      <c r="M46" s="4"/>
      <c r="N46" s="4"/>
    </row>
    <row r="47" spans="2:14" ht="16.5" x14ac:dyDescent="0.35">
      <c r="B47" s="1"/>
      <c r="C47" s="1"/>
      <c r="D47" s="2"/>
      <c r="E47" s="2"/>
      <c r="F47" s="2"/>
      <c r="G47" s="2"/>
      <c r="H47" s="1"/>
      <c r="I47" s="3"/>
      <c r="J47" s="3"/>
      <c r="K47" s="1"/>
      <c r="M47" s="4"/>
      <c r="N47" s="4"/>
    </row>
    <row r="48" spans="2:14" ht="16.5" x14ac:dyDescent="0.35">
      <c r="B48" s="1"/>
      <c r="C48" s="1"/>
      <c r="D48" s="2"/>
      <c r="E48" s="2"/>
      <c r="F48" s="2"/>
      <c r="G48" s="2"/>
      <c r="H48" s="1"/>
      <c r="I48" s="3"/>
      <c r="J48" s="3"/>
      <c r="K48" s="1"/>
      <c r="M48" s="4"/>
      <c r="N48" s="4"/>
    </row>
    <row r="49" spans="2:14" ht="16.5" x14ac:dyDescent="0.35">
      <c r="B49" s="1"/>
      <c r="C49" s="1"/>
      <c r="D49" s="2"/>
      <c r="E49" s="2"/>
      <c r="F49" s="2"/>
      <c r="G49" s="2"/>
      <c r="H49" s="1"/>
      <c r="I49" s="3"/>
      <c r="J49" s="3"/>
      <c r="K49" s="1"/>
      <c r="L49" s="1"/>
      <c r="M49" s="4"/>
      <c r="N49" s="4"/>
    </row>
    <row r="50" spans="2:14" ht="16.5" x14ac:dyDescent="0.35">
      <c r="B50" s="1"/>
      <c r="C50" s="1"/>
      <c r="D50" s="2"/>
      <c r="E50" s="2"/>
      <c r="F50" s="2"/>
      <c r="G50" s="2"/>
      <c r="H50" s="1"/>
      <c r="I50" s="3"/>
      <c r="J50" s="3"/>
      <c r="K50" s="1"/>
      <c r="L50" s="1"/>
      <c r="M50" s="1"/>
      <c r="N50" s="4"/>
    </row>
    <row r="51" spans="2:14" ht="16.5" x14ac:dyDescent="0.35">
      <c r="B51" s="1"/>
      <c r="C51" s="1"/>
      <c r="D51" s="2"/>
      <c r="E51" s="2"/>
      <c r="F51" s="2"/>
      <c r="G51" s="2"/>
      <c r="H51" s="1"/>
      <c r="I51" s="3"/>
      <c r="J51" s="3"/>
      <c r="K51" s="1"/>
      <c r="L51" s="1"/>
      <c r="M51" s="1"/>
      <c r="N51" s="4"/>
    </row>
    <row r="52" spans="2:14" ht="16.5" x14ac:dyDescent="0.35">
      <c r="B52" s="1"/>
      <c r="C52" s="1"/>
      <c r="D52" s="2"/>
      <c r="E52" s="2"/>
      <c r="F52" s="2"/>
      <c r="G52" s="2"/>
      <c r="H52" s="1"/>
      <c r="I52" s="3"/>
      <c r="J52" s="3"/>
      <c r="K52" s="1"/>
      <c r="L52" s="1"/>
      <c r="M52" s="1"/>
      <c r="N52" s="4"/>
    </row>
    <row r="53" spans="2:14" ht="16.5" x14ac:dyDescent="0.35">
      <c r="B53" s="1"/>
      <c r="C53" s="1"/>
      <c r="D53" s="1"/>
      <c r="E53" s="1"/>
      <c r="F53" s="1"/>
      <c r="G53" s="1"/>
      <c r="H53" s="1"/>
      <c r="I53" s="3"/>
      <c r="J53" s="3"/>
      <c r="K53" s="1"/>
      <c r="L53" s="1"/>
      <c r="M53" s="1"/>
      <c r="N53" s="4"/>
    </row>
    <row r="54" spans="2:14" ht="16.5" x14ac:dyDescent="0.35">
      <c r="B54" s="1"/>
      <c r="C54" s="1"/>
      <c r="D54" s="1"/>
      <c r="E54" s="1"/>
      <c r="F54" s="1"/>
      <c r="G54" s="1"/>
      <c r="H54" s="1"/>
      <c r="I54" s="3"/>
      <c r="J54" s="3"/>
      <c r="K54" s="1"/>
      <c r="L54" s="1"/>
      <c r="M54" s="1"/>
      <c r="N54" s="4"/>
    </row>
    <row r="55" spans="2:14" ht="16.5" x14ac:dyDescent="0.35">
      <c r="B55" s="1"/>
      <c r="C55" s="1"/>
      <c r="D55" s="1"/>
      <c r="E55" s="1"/>
      <c r="F55" s="1"/>
      <c r="G55" s="1"/>
      <c r="H55" s="1"/>
      <c r="I55" s="3"/>
      <c r="J55" s="3"/>
      <c r="K55" s="1"/>
      <c r="L55" s="1"/>
      <c r="M55" s="1"/>
      <c r="N55" s="4"/>
    </row>
    <row r="56" spans="2:14" ht="16.5" x14ac:dyDescent="0.35">
      <c r="B56" s="1"/>
      <c r="C56" s="1"/>
      <c r="D56" s="1"/>
      <c r="E56" s="1"/>
      <c r="F56" s="1"/>
      <c r="G56" s="1"/>
      <c r="H56" s="1"/>
      <c r="I56" s="3"/>
      <c r="J56" s="3"/>
      <c r="K56" s="1"/>
      <c r="L56" s="1"/>
      <c r="M56" s="1"/>
      <c r="N56" s="4"/>
    </row>
    <row r="57" spans="2:14" ht="16.5" x14ac:dyDescent="0.35">
      <c r="B57" s="1"/>
      <c r="C57" s="1"/>
      <c r="D57" s="1"/>
      <c r="E57" s="1"/>
      <c r="F57" s="1"/>
      <c r="G57" s="1"/>
      <c r="H57" s="1"/>
      <c r="I57" s="3"/>
      <c r="J57" s="3"/>
      <c r="K57" s="1"/>
      <c r="L57" s="1"/>
      <c r="M57" s="1"/>
      <c r="N57" s="4"/>
    </row>
    <row r="58" spans="2:14" ht="16.5" x14ac:dyDescent="0.35">
      <c r="B58" s="1"/>
      <c r="C58" s="1"/>
      <c r="D58" s="1"/>
      <c r="E58" s="1"/>
      <c r="F58" s="1"/>
      <c r="G58" s="1"/>
      <c r="H58" s="1"/>
      <c r="I58" s="3"/>
      <c r="J58" s="3"/>
      <c r="K58" s="1"/>
      <c r="L58" s="1"/>
      <c r="M58" s="1"/>
      <c r="N58" s="4"/>
    </row>
    <row r="59" spans="2:14" ht="16.5" x14ac:dyDescent="0.35">
      <c r="B59" s="1"/>
      <c r="C59" s="1"/>
      <c r="D59" s="1"/>
      <c r="E59" s="1"/>
      <c r="F59" s="1"/>
      <c r="G59" s="1"/>
      <c r="H59" s="1"/>
      <c r="I59" s="3"/>
      <c r="J59" s="3"/>
      <c r="K59" s="1"/>
      <c r="L59" s="1"/>
      <c r="M59" s="1"/>
      <c r="N59" s="4"/>
    </row>
    <row r="60" spans="2:14" ht="16.5" x14ac:dyDescent="0.35">
      <c r="B60" s="1"/>
      <c r="C60" s="1"/>
      <c r="D60" s="1"/>
      <c r="E60" s="1"/>
      <c r="F60" s="1"/>
      <c r="G60" s="1"/>
      <c r="H60" s="1"/>
      <c r="I60" s="3"/>
      <c r="J60" s="3"/>
      <c r="K60" s="1"/>
      <c r="L60" s="1"/>
      <c r="M60" s="1"/>
      <c r="N60" s="4"/>
    </row>
    <row r="61" spans="2:14" ht="16.5" x14ac:dyDescent="0.35">
      <c r="B61" s="1"/>
      <c r="C61" s="1"/>
      <c r="D61" s="1"/>
      <c r="E61" s="1"/>
      <c r="F61" s="1"/>
      <c r="G61" s="1"/>
      <c r="H61" s="1"/>
      <c r="I61" s="3"/>
      <c r="J61" s="3"/>
      <c r="K61" s="1"/>
      <c r="L61" s="1"/>
      <c r="M61" s="1"/>
      <c r="N61" s="4"/>
    </row>
    <row r="62" spans="2:14" ht="16.5" x14ac:dyDescent="0.35">
      <c r="B62" s="1"/>
      <c r="C62" s="1"/>
      <c r="D62" s="1"/>
      <c r="E62" s="1"/>
      <c r="F62" s="1"/>
      <c r="G62" s="1"/>
      <c r="H62" s="1"/>
      <c r="I62" s="3"/>
      <c r="J62" s="3"/>
      <c r="K62" s="1"/>
      <c r="L62" s="1"/>
      <c r="M62" s="1"/>
      <c r="N62" s="4"/>
    </row>
    <row r="63" spans="2:14" ht="16.5" x14ac:dyDescent="0.35">
      <c r="B63" s="1"/>
      <c r="C63" s="1"/>
      <c r="D63" s="1"/>
      <c r="E63" s="1"/>
      <c r="F63" s="1"/>
      <c r="G63" s="1"/>
      <c r="H63" s="1"/>
      <c r="I63" s="3"/>
      <c r="J63" s="3"/>
      <c r="K63" s="1"/>
      <c r="L63" s="1"/>
      <c r="M63" s="1"/>
      <c r="N63" s="4"/>
    </row>
    <row r="64" spans="2:14" ht="16.5" x14ac:dyDescent="0.35">
      <c r="B64" s="1"/>
      <c r="C64" s="1"/>
      <c r="D64" s="1"/>
      <c r="E64" s="1"/>
      <c r="F64" s="1"/>
      <c r="G64" s="1"/>
      <c r="H64" s="1"/>
      <c r="I64" s="3"/>
      <c r="J64" s="3"/>
      <c r="K64" s="1"/>
      <c r="L64" s="1"/>
      <c r="M64" s="1"/>
      <c r="N64" s="4"/>
    </row>
    <row r="65" spans="2:14" ht="16.5" x14ac:dyDescent="0.35">
      <c r="B65" s="1"/>
      <c r="C65" s="1"/>
      <c r="D65" s="1"/>
      <c r="E65" s="1"/>
      <c r="F65" s="1"/>
      <c r="G65" s="1"/>
      <c r="H65" s="1"/>
      <c r="I65" s="3"/>
      <c r="J65" s="3"/>
      <c r="K65" s="1"/>
      <c r="L65" s="1"/>
      <c r="M65" s="1"/>
      <c r="N65" s="4"/>
    </row>
    <row r="66" spans="2:14" ht="16.5" x14ac:dyDescent="0.35">
      <c r="B66" s="1"/>
      <c r="C66" s="1"/>
      <c r="D66" s="1"/>
      <c r="E66" s="1"/>
      <c r="F66" s="1"/>
      <c r="G66" s="1"/>
      <c r="H66" s="1"/>
      <c r="I66" s="3"/>
      <c r="J66" s="3"/>
      <c r="K66" s="1"/>
      <c r="L66" s="1"/>
      <c r="M66" s="1"/>
      <c r="N66" s="4"/>
    </row>
    <row r="67" spans="2:14" ht="16.5" x14ac:dyDescent="0.35">
      <c r="B67" s="1"/>
      <c r="C67" s="1"/>
      <c r="D67" s="1"/>
      <c r="E67" s="1"/>
      <c r="F67" s="1"/>
      <c r="G67" s="1"/>
      <c r="H67" s="1"/>
      <c r="I67" s="3"/>
      <c r="J67" s="3"/>
      <c r="K67" s="1"/>
      <c r="L67" s="1"/>
      <c r="M67" s="1"/>
      <c r="N67" s="4"/>
    </row>
    <row r="68" spans="2:14" ht="16.5" x14ac:dyDescent="0.35">
      <c r="B68" s="1"/>
      <c r="C68" s="1"/>
      <c r="D68" s="1"/>
      <c r="E68" s="1"/>
      <c r="F68" s="1"/>
      <c r="G68" s="1"/>
      <c r="H68" s="1"/>
      <c r="I68" s="3"/>
      <c r="J68" s="3"/>
      <c r="K68" s="1"/>
      <c r="L68" s="1"/>
      <c r="M68" s="1"/>
      <c r="N68" s="4"/>
    </row>
    <row r="69" spans="2:14" ht="16.5" x14ac:dyDescent="0.35">
      <c r="B69" s="1"/>
      <c r="C69" s="1"/>
      <c r="D69" s="1"/>
      <c r="E69" s="1"/>
      <c r="F69" s="1"/>
      <c r="G69" s="1"/>
      <c r="H69" s="1"/>
      <c r="I69" s="3"/>
      <c r="J69" s="3"/>
      <c r="K69" s="1"/>
      <c r="L69" s="1"/>
      <c r="M69" s="1"/>
      <c r="N69" s="4"/>
    </row>
    <row r="70" spans="2:14" ht="16.5" x14ac:dyDescent="0.35">
      <c r="B70" s="1"/>
      <c r="C70" s="1"/>
      <c r="D70" s="1"/>
      <c r="E70" s="1"/>
      <c r="F70" s="1"/>
      <c r="G70" s="1"/>
      <c r="H70" s="1"/>
      <c r="I70" s="3"/>
      <c r="J70" s="3"/>
      <c r="K70" s="1"/>
      <c r="L70" s="1"/>
      <c r="M70" s="1"/>
      <c r="N70" s="4"/>
    </row>
    <row r="71" spans="2:14" ht="16.5" x14ac:dyDescent="0.35">
      <c r="B71" s="1"/>
      <c r="C71" s="1"/>
      <c r="D71" s="1"/>
      <c r="E71" s="1"/>
      <c r="F71" s="1"/>
      <c r="G71" s="1"/>
      <c r="H71" s="1"/>
      <c r="I71" s="3"/>
      <c r="J71" s="3"/>
      <c r="K71" s="1"/>
      <c r="L71" s="1"/>
      <c r="M71" s="1"/>
      <c r="N71" s="4"/>
    </row>
    <row r="72" spans="2:14" ht="16.5" x14ac:dyDescent="0.35">
      <c r="B72" s="1"/>
      <c r="C72" s="1"/>
      <c r="D72" s="1"/>
      <c r="E72" s="1"/>
      <c r="F72" s="1"/>
      <c r="G72" s="1"/>
      <c r="H72" s="1"/>
      <c r="I72" s="3"/>
      <c r="J72" s="3"/>
      <c r="K72" s="1"/>
      <c r="L72" s="1"/>
      <c r="M72" s="1"/>
      <c r="N72" s="4"/>
    </row>
    <row r="73" spans="2:14" ht="16.5" x14ac:dyDescent="0.35">
      <c r="B73" s="1"/>
      <c r="C73" s="1"/>
      <c r="D73" s="1"/>
      <c r="E73" s="1"/>
      <c r="F73" s="1"/>
      <c r="G73" s="1"/>
      <c r="H73" s="1"/>
      <c r="I73" s="3"/>
      <c r="J73" s="3"/>
      <c r="K73" s="1"/>
      <c r="L73" s="1"/>
      <c r="M73" s="1"/>
      <c r="N73" s="4"/>
    </row>
    <row r="74" spans="2:14" ht="16.5" x14ac:dyDescent="0.35">
      <c r="B74" s="1"/>
      <c r="C74" s="1"/>
      <c r="D74" s="1"/>
      <c r="E74" s="1"/>
      <c r="F74" s="1"/>
      <c r="G74" s="1"/>
      <c r="H74" s="1"/>
      <c r="I74" s="3"/>
      <c r="J74" s="3"/>
      <c r="K74" s="1"/>
      <c r="L74" s="1"/>
      <c r="M74" s="1"/>
      <c r="N74" s="4"/>
    </row>
    <row r="75" spans="2:14" ht="16.5" x14ac:dyDescent="0.35">
      <c r="B75" s="1"/>
      <c r="C75" s="1"/>
      <c r="D75" s="1"/>
      <c r="E75" s="1"/>
      <c r="F75" s="1"/>
      <c r="G75" s="1"/>
      <c r="H75" s="1"/>
      <c r="I75" s="3"/>
      <c r="J75" s="3"/>
      <c r="K75" s="1"/>
      <c r="L75" s="1"/>
      <c r="M75" s="1"/>
      <c r="N75" s="4"/>
    </row>
    <row r="76" spans="2:14" ht="16.5" x14ac:dyDescent="0.35">
      <c r="B76" s="1"/>
      <c r="C76" s="1"/>
      <c r="D76" s="1"/>
      <c r="E76" s="1"/>
      <c r="F76" s="1"/>
      <c r="G76" s="1"/>
      <c r="H76" s="1"/>
      <c r="I76" s="3"/>
      <c r="J76" s="3"/>
      <c r="K76" s="1"/>
      <c r="L76" s="1"/>
      <c r="M76" s="1"/>
      <c r="N76" s="4"/>
    </row>
    <row r="77" spans="2:14" ht="16.5" x14ac:dyDescent="0.35">
      <c r="B77" s="1"/>
      <c r="C77" s="1"/>
      <c r="D77" s="1"/>
      <c r="E77" s="1"/>
      <c r="F77" s="1"/>
      <c r="G77" s="1"/>
      <c r="H77" s="1"/>
      <c r="I77" s="3"/>
      <c r="J77" s="3"/>
      <c r="K77" s="1"/>
      <c r="L77" s="1"/>
      <c r="M77" s="1"/>
      <c r="N77" s="4"/>
    </row>
    <row r="78" spans="2:14" ht="16.5" x14ac:dyDescent="0.35">
      <c r="B78" s="1"/>
      <c r="C78" s="1"/>
      <c r="D78" s="1"/>
      <c r="E78" s="1"/>
      <c r="F78" s="1"/>
      <c r="G78" s="1"/>
      <c r="H78" s="1"/>
      <c r="I78" s="3"/>
      <c r="J78" s="3"/>
      <c r="K78" s="1"/>
      <c r="L78" s="1"/>
      <c r="M78" s="1"/>
      <c r="N78" s="4"/>
    </row>
    <row r="79" spans="2:14" ht="16.5" x14ac:dyDescent="0.35">
      <c r="B79" s="1"/>
      <c r="C79" s="1"/>
      <c r="D79" s="1"/>
      <c r="E79" s="1"/>
      <c r="F79" s="1"/>
      <c r="G79" s="1"/>
      <c r="H79" s="1"/>
      <c r="I79" s="3"/>
      <c r="J79" s="3"/>
      <c r="K79" s="1"/>
      <c r="L79" s="1"/>
      <c r="M79" s="1"/>
      <c r="N79" s="4"/>
    </row>
    <row r="80" spans="2:14" ht="16.5" x14ac:dyDescent="0.35">
      <c r="B80" s="1"/>
      <c r="C80" s="1"/>
      <c r="D80" s="1"/>
      <c r="E80" s="1"/>
      <c r="F80" s="1"/>
      <c r="G80" s="1"/>
      <c r="H80" s="1"/>
      <c r="I80" s="3"/>
      <c r="J80" s="3"/>
      <c r="K80" s="1"/>
      <c r="L80" s="1"/>
      <c r="M80" s="1"/>
      <c r="N80" s="4"/>
    </row>
    <row r="81" spans="2:14" ht="16.5" x14ac:dyDescent="0.35">
      <c r="B81" s="1"/>
      <c r="C81" s="1"/>
      <c r="D81" s="1"/>
      <c r="E81" s="1"/>
      <c r="F81" s="1"/>
      <c r="G81" s="1"/>
      <c r="H81" s="1"/>
      <c r="I81" s="3"/>
      <c r="J81" s="3"/>
      <c r="K81" s="1"/>
      <c r="L81" s="1"/>
      <c r="M81" s="1"/>
      <c r="N81" s="4"/>
    </row>
    <row r="82" spans="2:14" ht="16.5" x14ac:dyDescent="0.35">
      <c r="B82" s="1"/>
      <c r="C82" s="1"/>
      <c r="D82" s="1"/>
      <c r="E82" s="1"/>
      <c r="F82" s="1"/>
      <c r="G82" s="1"/>
      <c r="H82" s="1"/>
      <c r="I82" s="3"/>
      <c r="J82" s="3"/>
      <c r="K82" s="1"/>
      <c r="L82" s="1"/>
      <c r="M82" s="1"/>
      <c r="N82" s="4"/>
    </row>
    <row r="83" spans="2:14" ht="16.5" x14ac:dyDescent="0.35">
      <c r="B83" s="1"/>
      <c r="C83" s="1"/>
      <c r="D83" s="1"/>
      <c r="E83" s="1"/>
      <c r="F83" s="1"/>
      <c r="G83" s="1"/>
      <c r="H83" s="1"/>
      <c r="I83" s="3"/>
      <c r="J83" s="3"/>
      <c r="K83" s="1"/>
      <c r="L83" s="1"/>
      <c r="M83" s="1"/>
      <c r="N83" s="4"/>
    </row>
    <row r="84" spans="2:14" ht="16.5" x14ac:dyDescent="0.35">
      <c r="B84" s="1"/>
      <c r="C84" s="1"/>
      <c r="D84" s="1"/>
      <c r="E84" s="1"/>
      <c r="F84" s="1"/>
      <c r="G84" s="1"/>
      <c r="H84" s="1"/>
      <c r="I84" s="3"/>
      <c r="J84" s="3"/>
      <c r="K84" s="1"/>
      <c r="L84" s="1"/>
      <c r="M84" s="1"/>
      <c r="N84" s="4"/>
    </row>
    <row r="85" spans="2:14" ht="16.5" x14ac:dyDescent="0.35">
      <c r="B85" s="1"/>
      <c r="C85" s="1"/>
      <c r="D85" s="1"/>
      <c r="E85" s="1"/>
      <c r="F85" s="1"/>
      <c r="G85" s="1"/>
      <c r="H85" s="1"/>
      <c r="I85" s="3"/>
      <c r="J85" s="3"/>
      <c r="K85" s="1"/>
      <c r="L85" s="1"/>
      <c r="M85" s="1"/>
      <c r="N85" s="4"/>
    </row>
    <row r="86" spans="2:14" ht="16.5" x14ac:dyDescent="0.35">
      <c r="B86" s="1"/>
      <c r="C86" s="1"/>
      <c r="D86" s="1"/>
      <c r="E86" s="1"/>
      <c r="F86" s="1"/>
      <c r="G86" s="1"/>
      <c r="H86" s="1"/>
      <c r="I86" s="3"/>
      <c r="J86" s="3"/>
      <c r="K86" s="1"/>
      <c r="L86" s="1"/>
      <c r="M86" s="1"/>
      <c r="N86" s="4"/>
    </row>
    <row r="87" spans="2:14" ht="16.5" x14ac:dyDescent="0.35">
      <c r="B87" s="1"/>
      <c r="C87" s="1"/>
      <c r="D87" s="1"/>
      <c r="E87" s="1"/>
      <c r="F87" s="1"/>
      <c r="G87" s="1"/>
      <c r="H87" s="1"/>
      <c r="I87" s="3"/>
      <c r="J87" s="3"/>
      <c r="K87" s="1"/>
      <c r="L87" s="1"/>
      <c r="M87" s="1"/>
      <c r="N87" s="4"/>
    </row>
    <row r="88" spans="2:14" ht="16.5" x14ac:dyDescent="0.35">
      <c r="B88" s="1"/>
      <c r="C88" s="1"/>
      <c r="D88" s="1"/>
      <c r="E88" s="1"/>
      <c r="F88" s="1"/>
      <c r="G88" s="1"/>
      <c r="H88" s="1"/>
      <c r="I88" s="3"/>
      <c r="J88" s="5"/>
      <c r="K88" s="1"/>
      <c r="L88" s="1"/>
      <c r="M88" s="1"/>
      <c r="N88" s="4"/>
    </row>
    <row r="89" spans="2:14" ht="16.5" x14ac:dyDescent="0.35">
      <c r="B89" s="1"/>
      <c r="C89" s="1"/>
      <c r="D89" s="1"/>
      <c r="E89" s="1"/>
      <c r="F89" s="1"/>
      <c r="G89" s="1"/>
      <c r="H89" s="1"/>
      <c r="I89" s="3"/>
      <c r="J89" s="5"/>
      <c r="K89" s="1"/>
      <c r="L89" s="1"/>
      <c r="M89" s="1"/>
      <c r="N89" s="4"/>
    </row>
    <row r="90" spans="2:14" ht="16.5" x14ac:dyDescent="0.35">
      <c r="B90" s="1"/>
      <c r="C90" s="1"/>
      <c r="D90" s="1"/>
      <c r="E90" s="1"/>
      <c r="F90" s="1"/>
      <c r="G90" s="1"/>
      <c r="H90" s="1"/>
      <c r="I90" s="3"/>
      <c r="J90" s="5"/>
      <c r="K90" s="1"/>
      <c r="L90" s="1"/>
      <c r="M90" s="1"/>
      <c r="N90" s="4"/>
    </row>
    <row r="91" spans="2:14" ht="16.5" x14ac:dyDescent="0.35">
      <c r="B91" s="1"/>
      <c r="C91" s="1"/>
      <c r="D91" s="1"/>
      <c r="E91" s="1"/>
      <c r="F91" s="1"/>
      <c r="G91" s="1"/>
      <c r="H91" s="1"/>
      <c r="I91" s="3"/>
      <c r="J91" s="5"/>
      <c r="K91" s="1"/>
      <c r="L91" s="1"/>
      <c r="M91" s="1"/>
      <c r="N91" s="4"/>
    </row>
    <row r="92" spans="2:14" ht="16.5" x14ac:dyDescent="0.35">
      <c r="B92" s="1"/>
      <c r="C92" s="1"/>
      <c r="D92" s="1"/>
      <c r="E92" s="1"/>
      <c r="F92" s="1"/>
      <c r="G92" s="1"/>
      <c r="H92" s="1"/>
      <c r="I92" s="3"/>
      <c r="J92" s="5"/>
      <c r="K92" s="1"/>
      <c r="L92" s="1"/>
      <c r="M92" s="1"/>
      <c r="N92" s="4"/>
    </row>
    <row r="93" spans="2:14" ht="16.5" x14ac:dyDescent="0.35">
      <c r="B93" s="1"/>
      <c r="C93" s="1"/>
      <c r="D93" s="1"/>
      <c r="E93" s="1"/>
      <c r="F93" s="1"/>
      <c r="G93" s="1"/>
      <c r="H93" s="1"/>
      <c r="I93" s="3"/>
      <c r="J93" s="5"/>
      <c r="K93" s="1"/>
      <c r="L93" s="1"/>
      <c r="M93" s="1"/>
      <c r="N93" s="4"/>
    </row>
    <row r="94" spans="2:14" ht="16.5" x14ac:dyDescent="0.35">
      <c r="B94" s="1"/>
      <c r="C94" s="1"/>
      <c r="D94" s="1"/>
      <c r="E94" s="1"/>
      <c r="F94" s="1"/>
      <c r="G94" s="1"/>
      <c r="H94" s="1"/>
      <c r="I94" s="3"/>
      <c r="J94" s="5"/>
      <c r="K94" s="1"/>
      <c r="L94" s="1"/>
      <c r="M94" s="1"/>
      <c r="N94" s="4"/>
    </row>
    <row r="95" spans="2:14" ht="16.5" x14ac:dyDescent="0.35">
      <c r="B95" s="1"/>
      <c r="C95" s="1"/>
      <c r="D95" s="1"/>
      <c r="E95" s="1"/>
      <c r="F95" s="1"/>
      <c r="G95" s="1"/>
      <c r="H95" s="1"/>
      <c r="I95" s="3"/>
      <c r="J95" s="5"/>
      <c r="K95" s="1"/>
      <c r="L95" s="1"/>
      <c r="M95" s="1"/>
      <c r="N95" s="4"/>
    </row>
    <row r="96" spans="2:14" ht="16.5" x14ac:dyDescent="0.35">
      <c r="B96" s="1"/>
      <c r="C96" s="1"/>
      <c r="D96" s="1"/>
      <c r="E96" s="1"/>
      <c r="F96" s="1"/>
      <c r="G96" s="1"/>
      <c r="H96" s="1"/>
      <c r="I96" s="3"/>
      <c r="J96" s="5"/>
      <c r="K96" s="1"/>
      <c r="L96" s="1"/>
      <c r="M96" s="1"/>
      <c r="N96" s="4"/>
    </row>
    <row r="97" spans="2:14" ht="16.5" x14ac:dyDescent="0.35">
      <c r="B97" s="1"/>
      <c r="C97" s="1"/>
      <c r="D97" s="1"/>
      <c r="E97" s="1"/>
      <c r="F97" s="1"/>
      <c r="G97" s="1"/>
      <c r="H97" s="1"/>
      <c r="I97" s="3"/>
      <c r="J97" s="5"/>
      <c r="K97" s="1"/>
      <c r="L97" s="1"/>
      <c r="M97" s="1"/>
      <c r="N97" s="4"/>
    </row>
    <row r="98" spans="2:14" ht="16.5" x14ac:dyDescent="0.35">
      <c r="B98" s="1"/>
      <c r="C98" s="1"/>
      <c r="D98" s="1"/>
      <c r="E98" s="1"/>
      <c r="F98" s="1"/>
      <c r="G98" s="1"/>
      <c r="H98" s="1"/>
      <c r="I98" s="3"/>
      <c r="J98" s="5"/>
      <c r="K98" s="1"/>
      <c r="L98" s="1"/>
      <c r="M98" s="1"/>
      <c r="N98" s="4"/>
    </row>
    <row r="99" spans="2:14" ht="16.5" x14ac:dyDescent="0.35">
      <c r="B99" s="1"/>
      <c r="C99" s="1"/>
      <c r="D99" s="1"/>
      <c r="E99" s="1"/>
      <c r="F99" s="1"/>
      <c r="G99" s="1"/>
      <c r="H99" s="1"/>
      <c r="I99" s="3"/>
      <c r="J99" s="5"/>
      <c r="K99" s="1"/>
      <c r="L99" s="1"/>
      <c r="M99" s="1"/>
      <c r="N99" s="4"/>
    </row>
    <row r="100" spans="2:14" ht="16.5" x14ac:dyDescent="0.35">
      <c r="B100" s="1"/>
      <c r="C100" s="1"/>
      <c r="D100" s="1"/>
      <c r="E100" s="1"/>
      <c r="F100" s="1"/>
      <c r="G100" s="1"/>
      <c r="H100" s="1"/>
      <c r="I100" s="3"/>
      <c r="J100" s="5"/>
      <c r="K100" s="1"/>
      <c r="L100" s="1"/>
      <c r="M100" s="1"/>
      <c r="N100" s="4"/>
    </row>
    <row r="101" spans="2:14" ht="16.5" x14ac:dyDescent="0.35">
      <c r="B101" s="1"/>
      <c r="C101" s="1"/>
      <c r="D101" s="1"/>
      <c r="E101" s="1"/>
      <c r="F101" s="1"/>
      <c r="G101" s="1"/>
      <c r="H101" s="1"/>
      <c r="I101" s="3"/>
      <c r="J101" s="5"/>
      <c r="K101" s="1"/>
      <c r="L101" s="1"/>
      <c r="M101" s="1"/>
      <c r="N101" s="4"/>
    </row>
    <row r="102" spans="2:14" ht="16.5" x14ac:dyDescent="0.35">
      <c r="B102" s="1"/>
      <c r="C102" s="1"/>
      <c r="D102" s="1"/>
      <c r="E102" s="1"/>
      <c r="F102" s="1"/>
      <c r="G102" s="1"/>
      <c r="H102" s="1"/>
      <c r="I102" s="3"/>
      <c r="J102" s="5"/>
      <c r="K102" s="1"/>
      <c r="L102" s="1"/>
      <c r="M102" s="1"/>
      <c r="N102" s="4"/>
    </row>
    <row r="103" spans="2:14" ht="16.5" x14ac:dyDescent="0.35">
      <c r="B103" s="1"/>
      <c r="C103" s="1"/>
      <c r="D103" s="1"/>
      <c r="E103" s="1"/>
      <c r="F103" s="1"/>
      <c r="G103" s="1"/>
      <c r="H103" s="1"/>
      <c r="I103" s="3"/>
      <c r="J103" s="5"/>
      <c r="K103" s="1"/>
      <c r="L103" s="1"/>
      <c r="M103" s="1"/>
      <c r="N103" s="4"/>
    </row>
    <row r="104" spans="2:14" ht="16.5" x14ac:dyDescent="0.35">
      <c r="B104" s="1"/>
      <c r="C104" s="1"/>
      <c r="D104" s="1"/>
      <c r="E104" s="1"/>
      <c r="F104" s="1"/>
      <c r="G104" s="1"/>
      <c r="H104" s="1"/>
      <c r="I104" s="3"/>
      <c r="J104" s="5"/>
      <c r="K104" s="1"/>
      <c r="L104" s="1"/>
      <c r="M104" s="1"/>
      <c r="N104" s="4"/>
    </row>
    <row r="105" spans="2:14" ht="16.5" x14ac:dyDescent="0.35">
      <c r="B105" s="1"/>
      <c r="C105" s="1"/>
      <c r="D105" s="1"/>
      <c r="E105" s="1"/>
      <c r="F105" s="1"/>
      <c r="G105" s="1"/>
      <c r="H105" s="1"/>
      <c r="I105" s="3"/>
      <c r="J105" s="5"/>
      <c r="K105" s="1"/>
      <c r="L105" s="1"/>
      <c r="M105" s="1"/>
      <c r="N105" s="4"/>
    </row>
    <row r="106" spans="2:14" ht="16.5" x14ac:dyDescent="0.35">
      <c r="B106" s="1"/>
      <c r="C106" s="1"/>
      <c r="D106" s="1"/>
      <c r="E106" s="1"/>
      <c r="F106" s="1"/>
      <c r="G106" s="1"/>
      <c r="H106" s="1"/>
      <c r="I106" s="3"/>
      <c r="J106" s="5"/>
      <c r="K106" s="1"/>
      <c r="L106" s="1"/>
      <c r="M106" s="1"/>
      <c r="N106" s="4"/>
    </row>
    <row r="107" spans="2:14" ht="16.5" x14ac:dyDescent="0.35">
      <c r="B107" s="1"/>
      <c r="C107" s="1"/>
      <c r="D107" s="1"/>
      <c r="E107" s="1"/>
      <c r="F107" s="1"/>
      <c r="G107" s="1"/>
      <c r="H107" s="1"/>
      <c r="I107" s="3"/>
      <c r="J107" s="5"/>
      <c r="K107" s="1"/>
      <c r="L107" s="1"/>
      <c r="M107" s="1"/>
      <c r="N107" s="4"/>
    </row>
    <row r="108" spans="2:14" ht="16.5" x14ac:dyDescent="0.35">
      <c r="B108" s="1"/>
      <c r="C108" s="1"/>
      <c r="D108" s="1"/>
      <c r="E108" s="1"/>
      <c r="F108" s="1"/>
      <c r="G108" s="1"/>
      <c r="H108" s="1"/>
      <c r="I108" s="3"/>
      <c r="J108" s="5"/>
      <c r="K108" s="1"/>
      <c r="L108" s="1"/>
      <c r="M108" s="1"/>
      <c r="N108" s="4"/>
    </row>
    <row r="109" spans="2:14" ht="16.5" x14ac:dyDescent="0.35">
      <c r="B109" s="1"/>
      <c r="C109" s="1"/>
      <c r="D109" s="1"/>
      <c r="E109" s="1"/>
      <c r="F109" s="1"/>
      <c r="G109" s="1"/>
      <c r="H109" s="1"/>
      <c r="I109" s="3"/>
      <c r="J109" s="5"/>
      <c r="K109" s="1"/>
      <c r="L109" s="1"/>
      <c r="M109" s="1"/>
      <c r="N109" s="4"/>
    </row>
    <row r="110" spans="2:14" ht="16.5" x14ac:dyDescent="0.35">
      <c r="B110" s="1"/>
      <c r="C110" s="1"/>
      <c r="D110" s="1"/>
      <c r="E110" s="1"/>
      <c r="F110" s="1"/>
      <c r="G110" s="1"/>
      <c r="H110" s="1"/>
      <c r="I110" s="3"/>
      <c r="J110" s="5"/>
      <c r="K110" s="1"/>
      <c r="L110" s="1"/>
      <c r="M110" s="1"/>
      <c r="N110" s="4"/>
    </row>
    <row r="111" spans="2:14" ht="16.5" x14ac:dyDescent="0.35">
      <c r="B111" s="1"/>
      <c r="C111" s="1"/>
      <c r="D111" s="1"/>
      <c r="E111" s="1"/>
      <c r="F111" s="1"/>
      <c r="G111" s="1"/>
      <c r="H111" s="1"/>
      <c r="I111" s="3"/>
      <c r="J111" s="5"/>
      <c r="K111" s="1"/>
      <c r="L111" s="1"/>
      <c r="M111" s="1"/>
      <c r="N111" s="4"/>
    </row>
    <row r="112" spans="2:14" ht="16.5" x14ac:dyDescent="0.35">
      <c r="B112" s="1"/>
      <c r="C112" s="1"/>
      <c r="D112" s="1"/>
      <c r="E112" s="1"/>
      <c r="F112" s="1"/>
      <c r="G112" s="1"/>
      <c r="H112" s="1"/>
      <c r="I112" s="3"/>
      <c r="J112" s="5"/>
      <c r="K112" s="1"/>
      <c r="L112" s="1"/>
      <c r="M112" s="1"/>
      <c r="N112" s="4"/>
    </row>
    <row r="113" spans="2:14" ht="16.5" x14ac:dyDescent="0.35">
      <c r="B113" s="1"/>
      <c r="C113" s="1"/>
      <c r="D113" s="1"/>
      <c r="E113" s="1"/>
      <c r="F113" s="1"/>
      <c r="G113" s="1"/>
      <c r="H113" s="1"/>
      <c r="I113" s="3"/>
      <c r="J113" s="5"/>
      <c r="K113" s="1"/>
      <c r="L113" s="1"/>
      <c r="M113" s="1"/>
      <c r="N113" s="4"/>
    </row>
    <row r="114" spans="2:14" ht="16.5" x14ac:dyDescent="0.35">
      <c r="B114" s="1"/>
      <c r="C114" s="1"/>
      <c r="D114" s="1"/>
      <c r="E114" s="1"/>
      <c r="F114" s="1"/>
      <c r="G114" s="1"/>
      <c r="H114" s="1"/>
      <c r="I114" s="3"/>
      <c r="J114" s="5"/>
      <c r="K114" s="1"/>
      <c r="L114" s="1"/>
      <c r="M114" s="1"/>
      <c r="N114" s="4"/>
    </row>
    <row r="115" spans="2:14" ht="16.5" x14ac:dyDescent="0.35">
      <c r="B115" s="1"/>
      <c r="C115" s="1"/>
      <c r="D115" s="1"/>
      <c r="E115" s="1"/>
      <c r="F115" s="1"/>
      <c r="G115" s="1"/>
      <c r="H115" s="1"/>
      <c r="I115" s="3"/>
      <c r="J115" s="5"/>
      <c r="K115" s="1"/>
      <c r="L115" s="1"/>
      <c r="M115" s="1"/>
      <c r="N115" s="4"/>
    </row>
    <row r="116" spans="2:14" ht="16.5" x14ac:dyDescent="0.35">
      <c r="B116" s="1"/>
      <c r="C116" s="1"/>
      <c r="D116" s="1"/>
      <c r="E116" s="1"/>
      <c r="F116" s="1"/>
      <c r="G116" s="1"/>
      <c r="H116" s="1"/>
      <c r="I116" s="3"/>
      <c r="J116" s="5"/>
      <c r="K116" s="1"/>
      <c r="L116" s="1"/>
      <c r="M116" s="1"/>
      <c r="N116" s="4"/>
    </row>
    <row r="117" spans="2:14" ht="16.5" x14ac:dyDescent="0.35">
      <c r="B117" s="1"/>
      <c r="C117" s="1"/>
      <c r="D117" s="1"/>
      <c r="E117" s="1"/>
      <c r="F117" s="1"/>
      <c r="G117" s="1"/>
      <c r="H117" s="1"/>
      <c r="I117" s="3"/>
      <c r="J117" s="5"/>
      <c r="K117" s="1"/>
      <c r="L117" s="1"/>
      <c r="M117" s="1"/>
      <c r="N117" s="4"/>
    </row>
    <row r="118" spans="2:14" ht="16.5" x14ac:dyDescent="0.35">
      <c r="B118" s="1"/>
      <c r="C118" s="1"/>
      <c r="D118" s="1"/>
      <c r="E118" s="1"/>
      <c r="F118" s="1"/>
      <c r="G118" s="1"/>
      <c r="H118" s="1"/>
      <c r="I118" s="3"/>
      <c r="J118" s="5"/>
      <c r="K118" s="1"/>
      <c r="L118" s="1"/>
      <c r="M118" s="1"/>
      <c r="N118" s="4"/>
    </row>
    <row r="119" spans="2:14" ht="16.5" x14ac:dyDescent="0.35">
      <c r="B119" s="1"/>
      <c r="C119" s="1"/>
      <c r="D119" s="1"/>
      <c r="E119" s="1"/>
      <c r="F119" s="1"/>
      <c r="G119" s="1"/>
      <c r="H119" s="1"/>
      <c r="I119" s="3"/>
      <c r="J119" s="5"/>
      <c r="K119" s="1"/>
      <c r="L119" s="1"/>
      <c r="M119" s="1"/>
      <c r="N119" s="4"/>
    </row>
    <row r="120" spans="2:14" ht="16.5" x14ac:dyDescent="0.35">
      <c r="B120" s="1"/>
      <c r="C120" s="1"/>
      <c r="D120" s="1"/>
      <c r="E120" s="1"/>
      <c r="F120" s="1"/>
      <c r="G120" s="1"/>
      <c r="H120" s="1"/>
      <c r="I120" s="3"/>
      <c r="J120" s="5"/>
      <c r="K120" s="1"/>
      <c r="L120" s="1"/>
      <c r="M120" s="1"/>
      <c r="N120" s="4"/>
    </row>
    <row r="121" spans="2:14" ht="16.5" x14ac:dyDescent="0.35">
      <c r="B121" s="1"/>
      <c r="C121" s="1"/>
      <c r="D121" s="1"/>
      <c r="E121" s="1"/>
      <c r="F121" s="1"/>
      <c r="G121" s="1"/>
      <c r="H121" s="1"/>
      <c r="I121" s="3"/>
      <c r="J121" s="5"/>
      <c r="K121" s="1"/>
      <c r="L121" s="1"/>
      <c r="M121" s="1"/>
      <c r="N121" s="4"/>
    </row>
    <row r="122" spans="2:14" ht="16.5" x14ac:dyDescent="0.35">
      <c r="B122" s="1"/>
      <c r="C122" s="1"/>
      <c r="D122" s="1"/>
      <c r="E122" s="1"/>
      <c r="F122" s="1"/>
      <c r="G122" s="1"/>
      <c r="H122" s="1"/>
      <c r="I122" s="3"/>
      <c r="J122" s="5"/>
      <c r="K122" s="1"/>
      <c r="L122" s="1"/>
      <c r="M122" s="1"/>
      <c r="N122" s="4"/>
    </row>
    <row r="123" spans="2:14" ht="16.5" x14ac:dyDescent="0.35">
      <c r="B123" s="1"/>
      <c r="C123" s="1"/>
      <c r="D123" s="1"/>
      <c r="E123" s="1"/>
      <c r="F123" s="1"/>
      <c r="G123" s="1"/>
      <c r="H123" s="1"/>
      <c r="I123" s="3"/>
      <c r="J123" s="5"/>
      <c r="K123" s="1"/>
      <c r="L123" s="1"/>
      <c r="M123" s="1"/>
      <c r="N123" s="4"/>
    </row>
    <row r="124" spans="2:14" ht="16.5" x14ac:dyDescent="0.35">
      <c r="B124" s="1"/>
      <c r="C124" s="1"/>
      <c r="D124" s="1"/>
      <c r="E124" s="1"/>
      <c r="F124" s="1"/>
      <c r="G124" s="1"/>
      <c r="H124" s="1"/>
      <c r="I124" s="3"/>
      <c r="J124" s="5"/>
      <c r="K124" s="1"/>
      <c r="L124" s="1"/>
      <c r="M124" s="1"/>
      <c r="N124" s="4"/>
    </row>
    <row r="125" spans="2:14" ht="16.5" x14ac:dyDescent="0.35">
      <c r="B125" s="1"/>
      <c r="C125" s="1"/>
      <c r="D125" s="1"/>
      <c r="E125" s="1"/>
      <c r="F125" s="1"/>
      <c r="G125" s="1"/>
      <c r="H125" s="1"/>
      <c r="I125" s="3"/>
      <c r="J125" s="5"/>
      <c r="K125" s="1"/>
      <c r="L125" s="1"/>
      <c r="M125" s="1"/>
      <c r="N125" s="4"/>
    </row>
    <row r="126" spans="2:14" ht="16.5" x14ac:dyDescent="0.35">
      <c r="B126" s="1"/>
      <c r="C126" s="1"/>
      <c r="D126" s="1"/>
      <c r="E126" s="1"/>
      <c r="F126" s="1"/>
      <c r="G126" s="1"/>
      <c r="H126" s="1"/>
      <c r="I126" s="3"/>
      <c r="J126" s="5"/>
      <c r="K126" s="1"/>
      <c r="L126" s="1"/>
      <c r="M126" s="1"/>
      <c r="N126" s="4"/>
    </row>
    <row r="127" spans="2:14" ht="16.5" x14ac:dyDescent="0.35">
      <c r="B127" s="1"/>
      <c r="C127" s="1"/>
      <c r="D127" s="1"/>
      <c r="E127" s="1"/>
      <c r="F127" s="1"/>
      <c r="G127" s="1"/>
      <c r="H127" s="1"/>
      <c r="I127" s="3"/>
      <c r="J127" s="5"/>
      <c r="K127" s="1"/>
      <c r="L127" s="1"/>
      <c r="M127" s="1"/>
      <c r="N127" s="4"/>
    </row>
    <row r="128" spans="2:14" ht="16.5" x14ac:dyDescent="0.35">
      <c r="B128" s="1"/>
      <c r="C128" s="1"/>
      <c r="D128" s="1"/>
      <c r="E128" s="1"/>
      <c r="F128" s="1"/>
      <c r="G128" s="1"/>
      <c r="H128" s="1"/>
      <c r="I128" s="3"/>
      <c r="J128" s="5"/>
      <c r="K128" s="1"/>
      <c r="L128" s="1"/>
      <c r="M128" s="1"/>
      <c r="N128" s="4"/>
    </row>
    <row r="129" spans="2:14" ht="16.5" x14ac:dyDescent="0.35">
      <c r="B129" s="1"/>
      <c r="C129" s="1"/>
      <c r="D129" s="1"/>
      <c r="E129" s="1"/>
      <c r="F129" s="1"/>
      <c r="G129" s="1"/>
      <c r="H129" s="1"/>
      <c r="I129" s="3"/>
      <c r="J129" s="5"/>
      <c r="K129" s="1"/>
      <c r="L129" s="1"/>
      <c r="M129" s="1"/>
      <c r="N129" s="4"/>
    </row>
    <row r="130" spans="2:14" ht="16.5" x14ac:dyDescent="0.35">
      <c r="B130" s="1"/>
      <c r="C130" s="1"/>
      <c r="D130" s="1"/>
      <c r="E130" s="1"/>
      <c r="F130" s="1"/>
      <c r="G130" s="1"/>
      <c r="H130" s="1"/>
      <c r="I130" s="3"/>
      <c r="J130" s="5"/>
      <c r="K130" s="1"/>
      <c r="L130" s="1"/>
      <c r="M130" s="1"/>
      <c r="N130" s="4"/>
    </row>
    <row r="131" spans="2:14" ht="16.5" x14ac:dyDescent="0.35">
      <c r="B131" s="1"/>
      <c r="C131" s="1"/>
      <c r="D131" s="1"/>
      <c r="E131" s="1"/>
      <c r="F131" s="1"/>
      <c r="G131" s="1"/>
      <c r="H131" s="1"/>
      <c r="I131" s="3"/>
      <c r="J131" s="5"/>
      <c r="K131" s="1"/>
      <c r="L131" s="1"/>
      <c r="M131" s="1"/>
      <c r="N131" s="4"/>
    </row>
    <row r="132" spans="2:14" ht="16.5" x14ac:dyDescent="0.35">
      <c r="B132" s="1"/>
      <c r="C132" s="1"/>
      <c r="D132" s="1"/>
      <c r="E132" s="1"/>
      <c r="F132" s="1"/>
      <c r="G132" s="1"/>
      <c r="H132" s="1"/>
      <c r="I132" s="3"/>
      <c r="J132" s="5"/>
      <c r="K132" s="1"/>
      <c r="L132" s="1"/>
      <c r="M132" s="1"/>
      <c r="N132" s="4"/>
    </row>
    <row r="133" spans="2:14" ht="16.5" x14ac:dyDescent="0.35">
      <c r="B133" s="1"/>
      <c r="C133" s="1"/>
      <c r="D133" s="1"/>
      <c r="E133" s="1"/>
      <c r="F133" s="1"/>
      <c r="G133" s="1"/>
      <c r="H133" s="1"/>
      <c r="I133" s="3"/>
      <c r="J133" s="5"/>
      <c r="K133" s="1"/>
      <c r="L133" s="1"/>
      <c r="M133" s="1"/>
      <c r="N133" s="4"/>
    </row>
    <row r="134" spans="2:14" ht="16.5" x14ac:dyDescent="0.35">
      <c r="B134" s="1"/>
      <c r="C134" s="1"/>
      <c r="D134" s="1"/>
      <c r="E134" s="1"/>
      <c r="F134" s="1"/>
      <c r="G134" s="1"/>
      <c r="H134" s="1"/>
      <c r="I134" s="3"/>
      <c r="J134" s="5"/>
      <c r="K134" s="1"/>
      <c r="L134" s="1"/>
      <c r="M134" s="1"/>
      <c r="N134" s="4"/>
    </row>
    <row r="135" spans="2:14" ht="16.5" x14ac:dyDescent="0.35">
      <c r="B135" s="1"/>
      <c r="C135" s="1"/>
      <c r="D135" s="1"/>
      <c r="E135" s="1"/>
      <c r="F135" s="1"/>
      <c r="G135" s="1"/>
      <c r="H135" s="1"/>
      <c r="I135" s="3"/>
      <c r="J135" s="5"/>
      <c r="K135" s="1"/>
      <c r="L135" s="1"/>
      <c r="M135" s="1"/>
      <c r="N135" s="4"/>
    </row>
    <row r="136" spans="2:14" ht="16.5" x14ac:dyDescent="0.35">
      <c r="B136" s="1"/>
      <c r="C136" s="1"/>
      <c r="D136" s="1"/>
      <c r="E136" s="1"/>
      <c r="F136" s="1"/>
      <c r="G136" s="1"/>
      <c r="H136" s="1"/>
      <c r="I136" s="3"/>
      <c r="J136" s="5"/>
      <c r="K136" s="1"/>
      <c r="L136" s="1"/>
      <c r="M136" s="1"/>
      <c r="N136" s="4"/>
    </row>
    <row r="137" spans="2:14" ht="16.5" x14ac:dyDescent="0.35">
      <c r="B137" s="1"/>
      <c r="C137" s="1"/>
      <c r="D137" s="1"/>
      <c r="E137" s="1"/>
      <c r="F137" s="1"/>
      <c r="G137" s="1"/>
      <c r="H137" s="1"/>
      <c r="I137" s="3"/>
      <c r="J137" s="5"/>
      <c r="K137" s="1"/>
      <c r="L137" s="1"/>
      <c r="M137" s="1"/>
      <c r="N137" s="4"/>
    </row>
    <row r="138" spans="2:14" ht="16.5" x14ac:dyDescent="0.35">
      <c r="B138" s="1"/>
      <c r="C138" s="1"/>
      <c r="D138" s="1"/>
      <c r="E138" s="1"/>
      <c r="F138" s="1"/>
      <c r="G138" s="1"/>
      <c r="H138" s="1"/>
      <c r="I138" s="3"/>
      <c r="J138" s="5"/>
      <c r="K138" s="1"/>
      <c r="L138" s="1"/>
      <c r="M138" s="1"/>
      <c r="N138" s="4"/>
    </row>
    <row r="139" spans="2:14" ht="16.5" x14ac:dyDescent="0.35">
      <c r="B139" s="1"/>
      <c r="C139" s="1"/>
      <c r="D139" s="1"/>
      <c r="E139" s="1"/>
      <c r="F139" s="1"/>
      <c r="G139" s="1"/>
      <c r="H139" s="1"/>
      <c r="I139" s="3"/>
      <c r="J139" s="5"/>
      <c r="K139" s="1"/>
      <c r="L139" s="1"/>
      <c r="M139" s="1"/>
      <c r="N139" s="4"/>
    </row>
    <row r="140" spans="2:14" ht="16.5" x14ac:dyDescent="0.35">
      <c r="B140" s="1"/>
      <c r="C140" s="1"/>
      <c r="D140" s="1"/>
      <c r="E140" s="1"/>
      <c r="F140" s="1"/>
      <c r="G140" s="1"/>
      <c r="H140" s="1"/>
      <c r="I140" s="3"/>
      <c r="J140" s="5"/>
      <c r="K140" s="1"/>
      <c r="L140" s="1"/>
      <c r="M140" s="1"/>
      <c r="N140" s="4"/>
    </row>
    <row r="141" spans="2:14" ht="16.5" x14ac:dyDescent="0.35">
      <c r="B141" s="1"/>
      <c r="C141" s="1"/>
      <c r="D141" s="1"/>
      <c r="E141" s="1"/>
      <c r="F141" s="1"/>
      <c r="G141" s="1"/>
      <c r="H141" s="1"/>
      <c r="I141" s="3"/>
      <c r="J141" s="5"/>
      <c r="K141" s="1"/>
      <c r="L141" s="1"/>
      <c r="M141" s="1"/>
      <c r="N141" s="4"/>
    </row>
    <row r="142" spans="2:14" ht="16.5" x14ac:dyDescent="0.35">
      <c r="B142" s="1"/>
      <c r="C142" s="1"/>
      <c r="D142" s="1"/>
      <c r="E142" s="1"/>
      <c r="F142" s="1"/>
      <c r="G142" s="1"/>
      <c r="H142" s="1"/>
      <c r="I142" s="3"/>
      <c r="J142" s="5"/>
      <c r="K142" s="1"/>
      <c r="L142" s="1"/>
      <c r="M142" s="1"/>
      <c r="N142" s="4"/>
    </row>
    <row r="143" spans="2:14" ht="16.5" x14ac:dyDescent="0.35">
      <c r="B143" s="1"/>
      <c r="C143" s="1"/>
      <c r="D143" s="1"/>
      <c r="E143" s="1"/>
      <c r="F143" s="1"/>
      <c r="G143" s="1"/>
      <c r="H143" s="1"/>
      <c r="I143" s="3"/>
      <c r="J143" s="5"/>
      <c r="K143" s="1"/>
      <c r="L143" s="1"/>
      <c r="M143" s="1"/>
      <c r="N143" s="4"/>
    </row>
    <row r="144" spans="2:14" ht="16.5" x14ac:dyDescent="0.35">
      <c r="B144" s="1"/>
      <c r="C144" s="1"/>
      <c r="D144" s="1"/>
      <c r="E144" s="1"/>
      <c r="F144" s="1"/>
      <c r="G144" s="1"/>
      <c r="H144" s="1"/>
      <c r="I144" s="3"/>
      <c r="J144" s="5"/>
      <c r="K144" s="1"/>
      <c r="L144" s="1"/>
      <c r="M144" s="1"/>
      <c r="N144" s="4"/>
    </row>
    <row r="145" spans="2:14" ht="16.5" x14ac:dyDescent="0.35">
      <c r="B145" s="1"/>
      <c r="C145" s="1"/>
      <c r="D145" s="1"/>
      <c r="E145" s="1"/>
      <c r="F145" s="1"/>
      <c r="G145" s="1"/>
      <c r="H145" s="1"/>
      <c r="I145" s="3"/>
      <c r="J145" s="5"/>
      <c r="K145" s="1"/>
      <c r="L145" s="1"/>
      <c r="M145" s="1"/>
      <c r="N145" s="4"/>
    </row>
    <row r="146" spans="2:14" ht="16.5" x14ac:dyDescent="0.35">
      <c r="B146" s="1"/>
      <c r="C146" s="1"/>
      <c r="D146" s="1"/>
      <c r="E146" s="1"/>
      <c r="F146" s="1"/>
      <c r="G146" s="1"/>
      <c r="H146" s="1"/>
      <c r="I146" s="3"/>
      <c r="J146" s="5"/>
      <c r="K146" s="1"/>
      <c r="L146" s="1"/>
      <c r="M146" s="1"/>
      <c r="N146" s="4"/>
    </row>
    <row r="147" spans="2:14" ht="16.5" x14ac:dyDescent="0.35">
      <c r="B147" s="1"/>
      <c r="C147" s="1"/>
      <c r="D147" s="1"/>
      <c r="E147" s="1"/>
      <c r="F147" s="1"/>
      <c r="G147" s="1"/>
      <c r="H147" s="1"/>
      <c r="I147" s="3"/>
      <c r="J147" s="5"/>
      <c r="K147" s="1"/>
      <c r="L147" s="1"/>
      <c r="M147" s="1"/>
      <c r="N147" s="4"/>
    </row>
    <row r="148" spans="2:14" ht="16.5" x14ac:dyDescent="0.35">
      <c r="B148" s="1"/>
      <c r="C148" s="1"/>
      <c r="D148" s="1"/>
      <c r="E148" s="1"/>
      <c r="F148" s="1"/>
      <c r="G148" s="1"/>
      <c r="H148" s="1"/>
      <c r="I148" s="3"/>
      <c r="J148" s="5"/>
      <c r="K148" s="1"/>
      <c r="L148" s="1"/>
      <c r="M148" s="1"/>
      <c r="N148" s="4"/>
    </row>
    <row r="149" spans="2:14" ht="16.5" x14ac:dyDescent="0.35">
      <c r="B149" s="1"/>
      <c r="C149" s="1"/>
      <c r="D149" s="1"/>
      <c r="E149" s="1"/>
      <c r="F149" s="1"/>
      <c r="G149" s="1"/>
      <c r="H149" s="1"/>
      <c r="I149" s="3"/>
      <c r="J149" s="5"/>
      <c r="K149" s="1"/>
      <c r="L149" s="1"/>
      <c r="M149" s="1"/>
      <c r="N149" s="4"/>
    </row>
    <row r="150" spans="2:14" ht="16.5" x14ac:dyDescent="0.35">
      <c r="B150" s="1"/>
      <c r="C150" s="1"/>
      <c r="D150" s="1"/>
      <c r="E150" s="1"/>
      <c r="F150" s="1"/>
      <c r="G150" s="1"/>
      <c r="H150" s="1"/>
      <c r="I150" s="3"/>
      <c r="J150" s="5"/>
      <c r="K150" s="1"/>
      <c r="L150" s="1"/>
      <c r="M150" s="1"/>
      <c r="N150" s="4"/>
    </row>
    <row r="151" spans="2:14" ht="16.5" x14ac:dyDescent="0.35">
      <c r="B151" s="1"/>
      <c r="C151" s="1"/>
      <c r="D151" s="1"/>
      <c r="E151" s="1"/>
      <c r="F151" s="1"/>
      <c r="G151" s="1"/>
      <c r="H151" s="1"/>
      <c r="I151" s="3"/>
      <c r="J151" s="5"/>
      <c r="K151" s="1"/>
      <c r="L151" s="1"/>
      <c r="M151" s="1"/>
      <c r="N151" s="4"/>
    </row>
    <row r="152" spans="2:14" ht="16.5" x14ac:dyDescent="0.35">
      <c r="B152" s="1"/>
      <c r="C152" s="1"/>
      <c r="D152" s="1"/>
      <c r="E152" s="1"/>
      <c r="F152" s="1"/>
      <c r="G152" s="1"/>
      <c r="H152" s="1"/>
      <c r="I152" s="3"/>
      <c r="J152" s="5"/>
      <c r="K152" s="1"/>
      <c r="L152" s="1"/>
      <c r="M152" s="1"/>
      <c r="N152" s="4"/>
    </row>
    <row r="153" spans="2:14" ht="16.5" x14ac:dyDescent="0.35">
      <c r="B153" s="1"/>
      <c r="C153" s="1"/>
      <c r="D153" s="1"/>
      <c r="E153" s="1"/>
      <c r="F153" s="1"/>
      <c r="G153" s="1"/>
      <c r="H153" s="1"/>
      <c r="I153" s="3"/>
      <c r="J153" s="5"/>
      <c r="K153" s="1"/>
      <c r="L153" s="1"/>
      <c r="M153" s="1"/>
      <c r="N153" s="4"/>
    </row>
    <row r="154" spans="2:14" ht="16.5" x14ac:dyDescent="0.35">
      <c r="B154" s="1"/>
      <c r="C154" s="1"/>
      <c r="D154" s="1"/>
      <c r="E154" s="1"/>
      <c r="F154" s="1"/>
      <c r="G154" s="1"/>
      <c r="H154" s="1"/>
      <c r="I154" s="3"/>
      <c r="J154" s="5"/>
      <c r="K154" s="1"/>
      <c r="L154" s="1"/>
      <c r="M154" s="1"/>
      <c r="N154" s="4"/>
    </row>
    <row r="155" spans="2:14" ht="16.5" x14ac:dyDescent="0.35">
      <c r="B155" s="1"/>
      <c r="C155" s="1"/>
      <c r="D155" s="1"/>
      <c r="E155" s="1"/>
      <c r="F155" s="1"/>
      <c r="G155" s="1"/>
      <c r="H155" s="1"/>
      <c r="I155" s="3"/>
      <c r="J155" s="5"/>
      <c r="K155" s="1"/>
      <c r="L155" s="1"/>
      <c r="M155" s="1"/>
      <c r="N155" s="4"/>
    </row>
    <row r="156" spans="2:14" ht="16.5" x14ac:dyDescent="0.35">
      <c r="B156" s="1"/>
      <c r="C156" s="1"/>
      <c r="D156" s="1"/>
      <c r="E156" s="1"/>
      <c r="F156" s="1"/>
      <c r="G156" s="1"/>
      <c r="H156" s="1"/>
      <c r="I156" s="3"/>
      <c r="J156" s="5"/>
      <c r="K156" s="1"/>
      <c r="L156" s="1"/>
      <c r="M156" s="1"/>
      <c r="N156" s="4"/>
    </row>
    <row r="157" spans="2:14" ht="16.5" x14ac:dyDescent="0.35">
      <c r="B157" s="1"/>
      <c r="C157" s="1"/>
      <c r="D157" s="1"/>
      <c r="E157" s="1"/>
      <c r="F157" s="1"/>
      <c r="G157" s="1"/>
      <c r="H157" s="1"/>
      <c r="I157" s="3"/>
      <c r="J157" s="5"/>
      <c r="K157" s="1"/>
      <c r="L157" s="1"/>
      <c r="M157" s="1"/>
      <c r="N157" s="4"/>
    </row>
    <row r="158" spans="2:14" ht="16.5" x14ac:dyDescent="0.35">
      <c r="B158" s="1"/>
      <c r="C158" s="1"/>
      <c r="D158" s="1"/>
      <c r="E158" s="1"/>
      <c r="F158" s="1"/>
      <c r="G158" s="1"/>
      <c r="H158" s="1"/>
      <c r="I158" s="3"/>
      <c r="J158" s="5"/>
      <c r="K158" s="1"/>
      <c r="L158" s="1"/>
      <c r="M158" s="1"/>
      <c r="N158" s="4"/>
    </row>
    <row r="159" spans="2:14" ht="16.5" x14ac:dyDescent="0.35">
      <c r="B159" s="1"/>
      <c r="C159" s="1"/>
      <c r="D159" s="1"/>
      <c r="E159" s="1"/>
      <c r="F159" s="1"/>
      <c r="G159" s="1"/>
      <c r="H159" s="1"/>
      <c r="I159" s="3"/>
      <c r="J159" s="5"/>
      <c r="K159" s="1"/>
      <c r="L159" s="1"/>
      <c r="M159" s="1"/>
      <c r="N159" s="4"/>
    </row>
    <row r="160" spans="2:14" ht="16.5" x14ac:dyDescent="0.35">
      <c r="B160" s="1"/>
      <c r="C160" s="1"/>
      <c r="D160" s="1"/>
      <c r="E160" s="1"/>
      <c r="F160" s="1"/>
      <c r="G160" s="1"/>
      <c r="H160" s="1"/>
      <c r="I160" s="3"/>
      <c r="J160" s="5"/>
      <c r="K160" s="1"/>
      <c r="L160" s="1"/>
      <c r="M160" s="1"/>
      <c r="N160" s="4"/>
    </row>
    <row r="161" spans="2:14" ht="16.5" x14ac:dyDescent="0.35">
      <c r="B161" s="1"/>
      <c r="C161" s="1"/>
      <c r="D161" s="1"/>
      <c r="E161" s="1"/>
      <c r="F161" s="1"/>
      <c r="G161" s="1"/>
      <c r="H161" s="1"/>
      <c r="I161" s="3"/>
      <c r="J161" s="5"/>
      <c r="K161" s="1"/>
      <c r="L161" s="1"/>
      <c r="M161" s="1"/>
      <c r="N161" s="4"/>
    </row>
    <row r="162" spans="2:14" ht="16.5" x14ac:dyDescent="0.35">
      <c r="B162" s="1"/>
      <c r="C162" s="1"/>
      <c r="D162" s="1"/>
      <c r="E162" s="1"/>
      <c r="F162" s="1"/>
      <c r="G162" s="1"/>
      <c r="H162" s="1"/>
      <c r="I162" s="3"/>
      <c r="J162" s="5"/>
      <c r="K162" s="1"/>
      <c r="L162" s="1"/>
      <c r="M162" s="1"/>
      <c r="N162" s="4"/>
    </row>
    <row r="163" spans="2:14" ht="16.5" x14ac:dyDescent="0.35">
      <c r="B163" s="1"/>
      <c r="C163" s="1"/>
      <c r="D163" s="1"/>
      <c r="E163" s="1"/>
      <c r="F163" s="1"/>
      <c r="G163" s="1"/>
      <c r="H163" s="1"/>
      <c r="I163" s="3"/>
      <c r="J163" s="5"/>
      <c r="K163" s="1"/>
      <c r="L163" s="1"/>
      <c r="M163" s="1"/>
      <c r="N163" s="4"/>
    </row>
    <row r="164" spans="2:14" ht="16.5" x14ac:dyDescent="0.35">
      <c r="B164" s="1"/>
      <c r="C164" s="1"/>
      <c r="D164" s="1"/>
      <c r="E164" s="1"/>
      <c r="F164" s="1"/>
      <c r="G164" s="1"/>
      <c r="H164" s="1"/>
      <c r="I164" s="3"/>
      <c r="J164" s="5"/>
      <c r="K164" s="1"/>
      <c r="L164" s="1"/>
      <c r="M164" s="1"/>
      <c r="N164" s="4"/>
    </row>
    <row r="165" spans="2:14" ht="16.5" x14ac:dyDescent="0.35">
      <c r="B165" s="1"/>
      <c r="C165" s="1"/>
      <c r="D165" s="1"/>
      <c r="E165" s="1"/>
      <c r="F165" s="1"/>
      <c r="G165" s="1"/>
      <c r="H165" s="1"/>
      <c r="I165" s="3"/>
      <c r="J165" s="5"/>
      <c r="K165" s="1"/>
      <c r="L165" s="1"/>
      <c r="M165" s="1"/>
      <c r="N165" s="4"/>
    </row>
    <row r="166" spans="2:14" ht="16.5" x14ac:dyDescent="0.35">
      <c r="B166" s="1"/>
      <c r="C166" s="1"/>
      <c r="D166" s="1"/>
      <c r="E166" s="1"/>
      <c r="F166" s="1"/>
      <c r="G166" s="1"/>
      <c r="H166" s="1"/>
      <c r="I166" s="3"/>
      <c r="J166" s="5"/>
      <c r="K166" s="1"/>
      <c r="L166" s="1"/>
      <c r="M166" s="1"/>
      <c r="N166" s="4"/>
    </row>
    <row r="167" spans="2:14" ht="16.5" x14ac:dyDescent="0.35">
      <c r="B167" s="1"/>
      <c r="C167" s="1"/>
      <c r="D167" s="1"/>
      <c r="E167" s="1"/>
      <c r="F167" s="1"/>
      <c r="G167" s="1"/>
      <c r="H167" s="1"/>
      <c r="I167" s="3"/>
      <c r="J167" s="5"/>
      <c r="K167" s="1"/>
      <c r="L167" s="1"/>
      <c r="M167" s="1"/>
      <c r="N167" s="4"/>
    </row>
    <row r="168" spans="2:14" ht="16.5" x14ac:dyDescent="0.35">
      <c r="B168" s="1"/>
      <c r="C168" s="1"/>
      <c r="D168" s="1"/>
      <c r="E168" s="1"/>
      <c r="F168" s="1"/>
      <c r="G168" s="1"/>
      <c r="H168" s="1"/>
      <c r="I168" s="3"/>
      <c r="J168" s="5"/>
      <c r="K168" s="1"/>
      <c r="L168" s="1"/>
      <c r="M168" s="1"/>
      <c r="N168" s="4"/>
    </row>
    <row r="169" spans="2:14" ht="16.5" x14ac:dyDescent="0.35">
      <c r="B169" s="1"/>
      <c r="C169" s="1"/>
      <c r="D169" s="1"/>
      <c r="E169" s="1"/>
      <c r="F169" s="1"/>
      <c r="G169" s="1"/>
      <c r="H169" s="1"/>
      <c r="I169" s="3"/>
      <c r="J169" s="5"/>
      <c r="K169" s="1"/>
      <c r="L169" s="1"/>
      <c r="M169" s="1"/>
      <c r="N169" s="4"/>
    </row>
    <row r="170" spans="2:14" ht="16.5" x14ac:dyDescent="0.35">
      <c r="B170" s="1"/>
      <c r="C170" s="1"/>
      <c r="D170" s="1"/>
      <c r="E170" s="1"/>
      <c r="F170" s="1"/>
      <c r="G170" s="1"/>
      <c r="H170" s="1"/>
      <c r="I170" s="3"/>
      <c r="J170" s="5"/>
      <c r="K170" s="1"/>
      <c r="L170" s="1"/>
      <c r="M170" s="1"/>
      <c r="N170" s="4"/>
    </row>
    <row r="171" spans="2:14" ht="16.5" x14ac:dyDescent="0.35">
      <c r="B171" s="1"/>
      <c r="C171" s="1"/>
      <c r="D171" s="1"/>
      <c r="E171" s="1"/>
      <c r="F171" s="1"/>
      <c r="G171" s="1"/>
      <c r="H171" s="1"/>
      <c r="I171" s="3"/>
      <c r="J171" s="5"/>
      <c r="K171" s="1"/>
      <c r="L171" s="1"/>
      <c r="M171" s="1"/>
      <c r="N171" s="4"/>
    </row>
    <row r="172" spans="2:14" ht="16.5" x14ac:dyDescent="0.35">
      <c r="B172" s="1"/>
      <c r="C172" s="1"/>
      <c r="D172" s="1"/>
      <c r="E172" s="1"/>
      <c r="F172" s="1"/>
      <c r="G172" s="1"/>
      <c r="H172" s="1"/>
      <c r="I172" s="3"/>
      <c r="J172" s="5"/>
      <c r="K172" s="1"/>
      <c r="L172" s="1"/>
      <c r="M172" s="1"/>
      <c r="N172" s="4"/>
    </row>
    <row r="173" spans="2:14" ht="16.5" x14ac:dyDescent="0.35">
      <c r="B173" s="1"/>
      <c r="C173" s="1"/>
      <c r="D173" s="1"/>
      <c r="E173" s="1"/>
      <c r="F173" s="1"/>
      <c r="G173" s="1"/>
      <c r="H173" s="1"/>
      <c r="I173" s="3"/>
      <c r="J173" s="5"/>
      <c r="K173" s="1"/>
      <c r="L173" s="1"/>
      <c r="M173" s="1"/>
      <c r="N173" s="4"/>
    </row>
    <row r="174" spans="2:14" ht="16.5" x14ac:dyDescent="0.35">
      <c r="B174" s="1"/>
      <c r="C174" s="1"/>
      <c r="D174" s="1"/>
      <c r="E174" s="1"/>
      <c r="F174" s="1"/>
      <c r="G174" s="1"/>
      <c r="H174" s="1"/>
      <c r="I174" s="3"/>
      <c r="J174" s="5"/>
      <c r="K174" s="1"/>
      <c r="L174" s="1"/>
      <c r="M174" s="1"/>
      <c r="N174" s="4"/>
    </row>
    <row r="175" spans="2:14" ht="16.5" x14ac:dyDescent="0.35">
      <c r="B175" s="1"/>
      <c r="C175" s="1"/>
      <c r="D175" s="1"/>
      <c r="E175" s="1"/>
      <c r="F175" s="1"/>
      <c r="G175" s="1"/>
      <c r="H175" s="1"/>
      <c r="I175" s="3"/>
      <c r="J175" s="5"/>
      <c r="K175" s="1"/>
      <c r="L175" s="1"/>
      <c r="M175" s="1"/>
      <c r="N175" s="4"/>
    </row>
    <row r="176" spans="2:14" ht="16.5" x14ac:dyDescent="0.35">
      <c r="B176" s="1"/>
      <c r="C176" s="1"/>
      <c r="D176" s="1"/>
      <c r="E176" s="1"/>
      <c r="F176" s="1"/>
      <c r="G176" s="1"/>
      <c r="H176" s="1"/>
      <c r="I176" s="3"/>
      <c r="J176" s="5"/>
      <c r="K176" s="1"/>
      <c r="L176" s="1"/>
      <c r="M176" s="1"/>
      <c r="N176" s="4"/>
    </row>
    <row r="177" spans="2:14" ht="16.5" x14ac:dyDescent="0.35">
      <c r="B177" s="1"/>
      <c r="C177" s="1"/>
      <c r="D177" s="1"/>
      <c r="E177" s="1"/>
      <c r="F177" s="1"/>
      <c r="G177" s="1"/>
      <c r="H177" s="1"/>
      <c r="I177" s="3"/>
      <c r="J177" s="5"/>
      <c r="K177" s="1"/>
      <c r="L177" s="1"/>
      <c r="M177" s="1"/>
      <c r="N177" s="4"/>
    </row>
    <row r="178" spans="2:14" ht="16.5" x14ac:dyDescent="0.35">
      <c r="B178" s="1"/>
      <c r="C178" s="1"/>
      <c r="D178" s="1"/>
      <c r="E178" s="1"/>
      <c r="F178" s="1"/>
      <c r="G178" s="1"/>
      <c r="H178" s="1"/>
      <c r="I178" s="3"/>
      <c r="J178" s="5"/>
      <c r="K178" s="1"/>
      <c r="L178" s="1"/>
      <c r="M178" s="1"/>
      <c r="N178" s="4"/>
    </row>
    <row r="179" spans="2:14" ht="16.5" x14ac:dyDescent="0.35">
      <c r="B179" s="1"/>
      <c r="C179" s="1"/>
      <c r="D179" s="1"/>
      <c r="E179" s="1"/>
      <c r="F179" s="1"/>
      <c r="G179" s="1"/>
      <c r="H179" s="1"/>
      <c r="I179" s="3"/>
      <c r="J179" s="5"/>
      <c r="K179" s="1"/>
      <c r="L179" s="1"/>
      <c r="M179" s="1"/>
      <c r="N179" s="4"/>
    </row>
    <row r="180" spans="2:14" ht="16.5" x14ac:dyDescent="0.35">
      <c r="B180" s="1"/>
      <c r="C180" s="1"/>
      <c r="D180" s="1"/>
      <c r="E180" s="1"/>
      <c r="F180" s="1"/>
      <c r="G180" s="1"/>
      <c r="H180" s="1"/>
      <c r="I180" s="3"/>
      <c r="J180" s="5"/>
      <c r="K180" s="1"/>
      <c r="L180" s="1"/>
      <c r="M180" s="1"/>
      <c r="N180" s="4"/>
    </row>
    <row r="181" spans="2:14" ht="16.5" x14ac:dyDescent="0.35">
      <c r="B181" s="1"/>
      <c r="C181" s="1"/>
      <c r="D181" s="1"/>
      <c r="E181" s="1"/>
      <c r="F181" s="1"/>
      <c r="G181" s="1"/>
      <c r="H181" s="1"/>
      <c r="I181" s="3"/>
      <c r="J181" s="5"/>
      <c r="K181" s="1"/>
      <c r="L181" s="1"/>
      <c r="M181" s="1"/>
      <c r="N181" s="4"/>
    </row>
    <row r="182" spans="2:14" ht="16.5" x14ac:dyDescent="0.35">
      <c r="B182" s="1"/>
      <c r="C182" s="1"/>
      <c r="D182" s="1"/>
      <c r="E182" s="1"/>
      <c r="F182" s="1"/>
      <c r="G182" s="1"/>
      <c r="H182" s="1"/>
      <c r="I182" s="3"/>
      <c r="J182" s="5"/>
      <c r="K182" s="1"/>
      <c r="L182" s="1"/>
      <c r="M182" s="1"/>
      <c r="N182" s="4"/>
    </row>
    <row r="183" spans="2:14" ht="16.5" x14ac:dyDescent="0.35">
      <c r="B183" s="1"/>
      <c r="C183" s="1"/>
      <c r="D183" s="1"/>
      <c r="E183" s="1"/>
      <c r="F183" s="1"/>
      <c r="G183" s="1"/>
      <c r="H183" s="1"/>
      <c r="I183" s="3"/>
      <c r="J183" s="5"/>
      <c r="K183" s="1"/>
      <c r="L183" s="1"/>
      <c r="M183" s="1"/>
      <c r="N183" s="4"/>
    </row>
    <row r="184" spans="2:14" ht="16.5" x14ac:dyDescent="0.35">
      <c r="B184" s="1"/>
      <c r="C184" s="1"/>
      <c r="D184" s="1"/>
      <c r="E184" s="1"/>
      <c r="F184" s="1"/>
      <c r="G184" s="1"/>
      <c r="H184" s="1"/>
      <c r="I184" s="3"/>
      <c r="J184" s="5"/>
      <c r="K184" s="1"/>
      <c r="L184" s="1"/>
      <c r="M184" s="1"/>
      <c r="N184" s="4"/>
    </row>
    <row r="185" spans="2:14" ht="16.5" x14ac:dyDescent="0.35">
      <c r="B185" s="1"/>
      <c r="C185" s="1"/>
      <c r="D185" s="1"/>
      <c r="E185" s="1"/>
      <c r="F185" s="1"/>
      <c r="G185" s="1"/>
      <c r="H185" s="1"/>
      <c r="I185" s="3"/>
      <c r="J185" s="5"/>
      <c r="K185" s="1"/>
      <c r="L185" s="1"/>
      <c r="M185" s="1"/>
      <c r="N185" s="4"/>
    </row>
    <row r="186" spans="2:14" ht="16.5" x14ac:dyDescent="0.35">
      <c r="B186" s="1"/>
      <c r="C186" s="1"/>
      <c r="D186" s="1"/>
      <c r="E186" s="1"/>
      <c r="F186" s="1"/>
      <c r="G186" s="1"/>
      <c r="H186" s="1"/>
      <c r="I186" s="3"/>
      <c r="J186" s="5"/>
      <c r="K186" s="1"/>
      <c r="L186" s="1"/>
      <c r="M186" s="1"/>
      <c r="N186" s="4"/>
    </row>
    <row r="187" spans="2:14" ht="16.5" x14ac:dyDescent="0.35">
      <c r="B187" s="1"/>
      <c r="C187" s="1"/>
      <c r="D187" s="1"/>
      <c r="E187" s="1"/>
      <c r="F187" s="1"/>
      <c r="G187" s="1"/>
      <c r="H187" s="1"/>
      <c r="I187" s="3"/>
      <c r="J187" s="5"/>
      <c r="K187" s="1"/>
      <c r="L187" s="1"/>
      <c r="M187" s="1"/>
      <c r="N187" s="4"/>
    </row>
    <row r="188" spans="2:14" ht="16.5" x14ac:dyDescent="0.35">
      <c r="B188" s="1"/>
      <c r="C188" s="1"/>
      <c r="D188" s="1"/>
      <c r="E188" s="1"/>
      <c r="F188" s="1"/>
      <c r="G188" s="1"/>
      <c r="H188" s="1"/>
      <c r="I188" s="3"/>
      <c r="J188" s="5"/>
      <c r="K188" s="1"/>
      <c r="L188" s="1"/>
      <c r="M188" s="1"/>
      <c r="N188" s="4"/>
    </row>
    <row r="189" spans="2:14" ht="16.5" x14ac:dyDescent="0.35">
      <c r="B189" s="1"/>
      <c r="C189" s="1"/>
      <c r="D189" s="1"/>
      <c r="E189" s="1"/>
      <c r="F189" s="1"/>
      <c r="G189" s="1"/>
      <c r="H189" s="1"/>
      <c r="I189" s="3"/>
      <c r="J189" s="5"/>
      <c r="K189" s="1"/>
      <c r="L189" s="1"/>
      <c r="M189" s="1"/>
      <c r="N189" s="4"/>
    </row>
    <row r="190" spans="2:14" ht="16.5" x14ac:dyDescent="0.35">
      <c r="B190" s="1"/>
      <c r="C190" s="1"/>
      <c r="D190" s="1"/>
      <c r="E190" s="1"/>
      <c r="F190" s="1"/>
      <c r="G190" s="1"/>
      <c r="H190" s="1"/>
      <c r="I190" s="3"/>
      <c r="J190" s="5"/>
      <c r="K190" s="1"/>
      <c r="L190" s="1"/>
      <c r="M190" s="1"/>
      <c r="N190" s="4"/>
    </row>
    <row r="191" spans="2:14" ht="16.5" x14ac:dyDescent="0.35">
      <c r="B191" s="1"/>
      <c r="C191" s="1"/>
      <c r="D191" s="1"/>
      <c r="E191" s="1"/>
      <c r="F191" s="1"/>
      <c r="G191" s="1"/>
      <c r="H191" s="1"/>
      <c r="I191" s="3"/>
      <c r="J191" s="5"/>
      <c r="K191" s="1"/>
      <c r="L191" s="1"/>
      <c r="M191" s="1"/>
      <c r="N191" s="4"/>
    </row>
    <row r="192" spans="2:14" ht="16.5" x14ac:dyDescent="0.35">
      <c r="B192" s="1"/>
      <c r="C192" s="1"/>
      <c r="D192" s="1"/>
      <c r="E192" s="1"/>
      <c r="F192" s="1"/>
      <c r="G192" s="1"/>
      <c r="H192" s="1"/>
      <c r="I192" s="3"/>
      <c r="J192" s="5"/>
      <c r="K192" s="1"/>
      <c r="L192" s="1"/>
      <c r="M192" s="1"/>
      <c r="N192" s="4"/>
    </row>
    <row r="193" spans="2:14" ht="16.5" x14ac:dyDescent="0.35">
      <c r="B193" s="1"/>
      <c r="C193" s="1"/>
      <c r="D193" s="1"/>
      <c r="E193" s="1"/>
      <c r="F193" s="1"/>
      <c r="G193" s="1"/>
      <c r="H193" s="1"/>
      <c r="I193" s="3"/>
      <c r="J193" s="5"/>
      <c r="K193" s="1"/>
      <c r="L193" s="1"/>
      <c r="M193" s="1"/>
      <c r="N193" s="4"/>
    </row>
    <row r="194" spans="2:14" ht="16.5" x14ac:dyDescent="0.35">
      <c r="B194" s="1"/>
      <c r="C194" s="1"/>
      <c r="D194" s="1"/>
      <c r="E194" s="1"/>
      <c r="F194" s="1"/>
      <c r="G194" s="1"/>
      <c r="H194" s="1"/>
      <c r="I194" s="3"/>
      <c r="J194" s="5"/>
      <c r="K194" s="1"/>
      <c r="L194" s="1"/>
      <c r="M194" s="1"/>
      <c r="N194" s="4"/>
    </row>
    <row r="195" spans="2:14" ht="16.5" x14ac:dyDescent="0.35">
      <c r="B195" s="1"/>
      <c r="C195" s="1"/>
      <c r="D195" s="1"/>
      <c r="E195" s="1"/>
      <c r="F195" s="1"/>
      <c r="G195" s="1"/>
      <c r="H195" s="1"/>
      <c r="I195" s="3"/>
      <c r="J195" s="5"/>
      <c r="K195" s="1"/>
      <c r="L195" s="1"/>
      <c r="M195" s="1"/>
      <c r="N195" s="4"/>
    </row>
    <row r="196" spans="2:14" ht="16.5" x14ac:dyDescent="0.35">
      <c r="B196" s="1"/>
      <c r="C196" s="1"/>
      <c r="D196" s="1"/>
      <c r="E196" s="1"/>
      <c r="F196" s="1"/>
      <c r="G196" s="1"/>
      <c r="H196" s="1"/>
      <c r="I196" s="1"/>
      <c r="J196" s="5"/>
      <c r="K196" s="1"/>
      <c r="L196" s="1"/>
      <c r="M196" s="1"/>
      <c r="N196" s="1"/>
    </row>
    <row r="197" spans="2:14" ht="16.5" x14ac:dyDescent="0.35">
      <c r="B197" s="1"/>
      <c r="C197" s="1"/>
      <c r="D197" s="1"/>
      <c r="E197" s="1"/>
      <c r="F197" s="1"/>
      <c r="G197" s="1"/>
      <c r="H197" s="1"/>
      <c r="I197" s="1"/>
      <c r="J197" s="5"/>
      <c r="K197" s="1"/>
      <c r="M197" s="1"/>
      <c r="N197" s="1"/>
    </row>
    <row r="198" spans="2:14" ht="16.5" x14ac:dyDescent="0.35">
      <c r="B198" s="1"/>
      <c r="C198" s="1"/>
      <c r="D198" s="1"/>
      <c r="E198" s="1"/>
      <c r="F198" s="1"/>
      <c r="G198" s="1"/>
      <c r="H198" s="1"/>
      <c r="I198" s="1"/>
      <c r="J198" s="5"/>
      <c r="K198" s="1"/>
      <c r="M198" s="1"/>
      <c r="N198" s="1"/>
    </row>
    <row r="199" spans="2:14" ht="16.5" x14ac:dyDescent="0.35">
      <c r="B199" s="1"/>
      <c r="C199" s="1"/>
      <c r="D199" s="1"/>
      <c r="E199" s="1"/>
      <c r="F199" s="1"/>
      <c r="G199" s="1"/>
      <c r="H199" s="1"/>
      <c r="I199" s="1"/>
      <c r="J199" s="5"/>
      <c r="K199" s="1"/>
      <c r="M199" s="1"/>
      <c r="N199" s="1"/>
    </row>
    <row r="200" spans="2:14" ht="16.5" x14ac:dyDescent="0.35">
      <c r="B200" s="1"/>
      <c r="C200" s="1"/>
      <c r="D200" s="1"/>
      <c r="E200" s="1"/>
      <c r="F200" s="1"/>
      <c r="G200" s="1"/>
      <c r="H200" s="1"/>
      <c r="I200" s="1"/>
      <c r="J200" s="5"/>
      <c r="K200" s="1"/>
      <c r="M200" s="1"/>
      <c r="N200" s="1"/>
    </row>
  </sheetData>
  <mergeCells count="1">
    <mergeCell ref="B1:N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C10E1-3A1B-48E1-8705-5D6643E6D4D6}">
  <sheetPr>
    <tabColor theme="8" tint="0.59999389629810485"/>
  </sheetPr>
  <dimension ref="B1:K36"/>
  <sheetViews>
    <sheetView tabSelected="1" topLeftCell="F1" zoomScale="75" zoomScaleNormal="75" workbookViewId="0">
      <selection activeCell="J38" sqref="J38"/>
    </sheetView>
  </sheetViews>
  <sheetFormatPr defaultRowHeight="50" customHeight="1" x14ac:dyDescent="0.3"/>
  <cols>
    <col min="1" max="1" width="8.7265625" style="28"/>
    <col min="2" max="2" width="10.1796875" style="28" customWidth="1"/>
    <col min="3" max="3" width="19.54296875" style="28" bestFit="1" customWidth="1"/>
    <col min="4" max="4" width="40.6328125" style="28" bestFit="1" customWidth="1"/>
    <col min="5" max="6" width="30.453125" style="28" customWidth="1"/>
    <col min="7" max="7" width="21.90625" style="28" customWidth="1"/>
    <col min="8" max="8" width="46.1796875" style="28" customWidth="1"/>
    <col min="9" max="9" width="40.453125" style="43" bestFit="1" customWidth="1"/>
    <col min="10" max="10" width="61.90625" style="42" customWidth="1"/>
    <col min="11" max="11" width="86.81640625" style="28" customWidth="1"/>
    <col min="12" max="16384" width="8.7265625" style="28"/>
  </cols>
  <sheetData>
    <row r="1" spans="2:10" ht="50" customHeight="1" x14ac:dyDescent="0.3">
      <c r="B1" s="67" t="s">
        <v>244</v>
      </c>
      <c r="C1" s="68"/>
      <c r="D1" s="68"/>
      <c r="E1" s="68"/>
      <c r="F1" s="68"/>
      <c r="G1" s="68"/>
      <c r="H1" s="68"/>
      <c r="I1" s="68"/>
      <c r="J1" s="68"/>
    </row>
    <row r="2" spans="2:10" ht="50" customHeight="1" x14ac:dyDescent="0.3">
      <c r="B2" s="47" t="s">
        <v>0</v>
      </c>
      <c r="C2" s="47" t="s">
        <v>1</v>
      </c>
      <c r="D2" s="47" t="s">
        <v>4</v>
      </c>
      <c r="E2" s="47" t="s">
        <v>2</v>
      </c>
      <c r="F2" s="47" t="s">
        <v>254</v>
      </c>
      <c r="G2" s="47" t="s">
        <v>3</v>
      </c>
      <c r="H2" s="48" t="s">
        <v>5</v>
      </c>
      <c r="I2" s="47" t="s">
        <v>243</v>
      </c>
      <c r="J2" s="47" t="s">
        <v>246</v>
      </c>
    </row>
    <row r="3" spans="2:10" ht="50" customHeight="1" x14ac:dyDescent="0.3">
      <c r="B3" s="29">
        <v>1</v>
      </c>
      <c r="C3" s="30" t="s">
        <v>13</v>
      </c>
      <c r="D3" s="31" t="s">
        <v>14</v>
      </c>
      <c r="E3" s="31" t="s">
        <v>15</v>
      </c>
      <c r="F3" s="8" t="s">
        <v>18</v>
      </c>
      <c r="G3" s="32" t="s">
        <v>16</v>
      </c>
      <c r="H3" s="32" t="s">
        <v>17</v>
      </c>
      <c r="I3" s="44" t="s">
        <v>247</v>
      </c>
      <c r="J3" s="46" t="s">
        <v>248</v>
      </c>
    </row>
    <row r="4" spans="2:10" ht="50" customHeight="1" x14ac:dyDescent="0.3">
      <c r="B4" s="29">
        <v>2</v>
      </c>
      <c r="C4" s="30" t="s">
        <v>13</v>
      </c>
      <c r="D4" s="31" t="s">
        <v>14</v>
      </c>
      <c r="E4" s="31" t="s">
        <v>15</v>
      </c>
      <c r="F4" s="8" t="s">
        <v>24</v>
      </c>
      <c r="G4" s="32" t="s">
        <v>22</v>
      </c>
      <c r="H4" s="32" t="s">
        <v>23</v>
      </c>
      <c r="I4" s="45" t="s">
        <v>245</v>
      </c>
      <c r="J4" s="41"/>
    </row>
    <row r="5" spans="2:10" ht="50" customHeight="1" x14ac:dyDescent="0.3">
      <c r="B5" s="29">
        <v>3</v>
      </c>
      <c r="C5" s="30" t="s">
        <v>13</v>
      </c>
      <c r="D5" s="31" t="s">
        <v>14</v>
      </c>
      <c r="E5" s="31" t="s">
        <v>15</v>
      </c>
      <c r="F5" s="8" t="s">
        <v>30</v>
      </c>
      <c r="G5" s="32" t="s">
        <v>28</v>
      </c>
      <c r="H5" s="32" t="s">
        <v>29</v>
      </c>
      <c r="I5" s="45" t="s">
        <v>245</v>
      </c>
      <c r="J5" s="41"/>
    </row>
    <row r="6" spans="2:10" ht="50" customHeight="1" x14ac:dyDescent="0.3">
      <c r="B6" s="29">
        <v>4</v>
      </c>
      <c r="C6" s="30" t="s">
        <v>34</v>
      </c>
      <c r="D6" s="31" t="s">
        <v>35</v>
      </c>
      <c r="E6" s="31" t="s">
        <v>36</v>
      </c>
      <c r="F6" s="8" t="s">
        <v>39</v>
      </c>
      <c r="G6" s="32" t="s">
        <v>37</v>
      </c>
      <c r="H6" s="33" t="s">
        <v>38</v>
      </c>
      <c r="I6" s="45" t="s">
        <v>245</v>
      </c>
      <c r="J6" s="41"/>
    </row>
    <row r="7" spans="2:10" ht="50" customHeight="1" x14ac:dyDescent="0.3">
      <c r="B7" s="29">
        <v>5</v>
      </c>
      <c r="C7" s="30" t="s">
        <v>34</v>
      </c>
      <c r="D7" s="31" t="s">
        <v>35</v>
      </c>
      <c r="E7" s="31" t="s">
        <v>36</v>
      </c>
      <c r="F7" s="8" t="s">
        <v>46</v>
      </c>
      <c r="G7" s="32" t="s">
        <v>44</v>
      </c>
      <c r="H7" s="33" t="s">
        <v>45</v>
      </c>
      <c r="I7" s="45" t="s">
        <v>245</v>
      </c>
      <c r="J7" s="41"/>
    </row>
    <row r="8" spans="2:10" ht="50" customHeight="1" x14ac:dyDescent="0.3">
      <c r="B8" s="29">
        <v>6</v>
      </c>
      <c r="C8" s="30" t="s">
        <v>34</v>
      </c>
      <c r="D8" s="31" t="s">
        <v>35</v>
      </c>
      <c r="E8" s="31" t="s">
        <v>36</v>
      </c>
      <c r="F8" s="8" t="s">
        <v>52</v>
      </c>
      <c r="G8" s="32" t="s">
        <v>50</v>
      </c>
      <c r="H8" s="33" t="s">
        <v>51</v>
      </c>
      <c r="I8" s="45" t="s">
        <v>245</v>
      </c>
      <c r="J8" s="41"/>
    </row>
    <row r="9" spans="2:10" ht="50" customHeight="1" x14ac:dyDescent="0.3">
      <c r="B9" s="29">
        <v>7</v>
      </c>
      <c r="C9" s="30" t="s">
        <v>34</v>
      </c>
      <c r="D9" s="31" t="s">
        <v>35</v>
      </c>
      <c r="E9" s="31" t="s">
        <v>36</v>
      </c>
      <c r="F9" s="8" t="s">
        <v>58</v>
      </c>
      <c r="G9" s="32" t="s">
        <v>56</v>
      </c>
      <c r="H9" s="33" t="s">
        <v>57</v>
      </c>
      <c r="I9" s="45" t="s">
        <v>245</v>
      </c>
      <c r="J9" s="41"/>
    </row>
    <row r="10" spans="2:10" ht="50" customHeight="1" x14ac:dyDescent="0.3">
      <c r="B10" s="29">
        <v>8</v>
      </c>
      <c r="C10" s="29" t="s">
        <v>63</v>
      </c>
      <c r="D10" s="32" t="s">
        <v>64</v>
      </c>
      <c r="E10" s="32" t="s">
        <v>65</v>
      </c>
      <c r="F10" s="8" t="s">
        <v>68</v>
      </c>
      <c r="G10" s="32" t="s">
        <v>66</v>
      </c>
      <c r="H10" s="33" t="s">
        <v>67</v>
      </c>
      <c r="I10" s="45" t="s">
        <v>245</v>
      </c>
      <c r="J10" s="41"/>
    </row>
    <row r="11" spans="2:10" ht="50" customHeight="1" x14ac:dyDescent="0.3">
      <c r="B11" s="29">
        <v>9</v>
      </c>
      <c r="C11" s="30" t="s">
        <v>73</v>
      </c>
      <c r="D11" s="31" t="s">
        <v>74</v>
      </c>
      <c r="E11" s="31" t="s">
        <v>75</v>
      </c>
      <c r="F11" s="8" t="s">
        <v>78</v>
      </c>
      <c r="G11" s="32" t="s">
        <v>76</v>
      </c>
      <c r="H11" s="33" t="s">
        <v>77</v>
      </c>
      <c r="I11" s="45" t="s">
        <v>245</v>
      </c>
      <c r="J11" s="41"/>
    </row>
    <row r="12" spans="2:10" ht="50" customHeight="1" x14ac:dyDescent="0.3">
      <c r="B12" s="29">
        <v>10</v>
      </c>
      <c r="C12" s="30" t="s">
        <v>73</v>
      </c>
      <c r="D12" s="31" t="s">
        <v>74</v>
      </c>
      <c r="E12" s="31" t="s">
        <v>75</v>
      </c>
      <c r="F12" s="8" t="s">
        <v>84</v>
      </c>
      <c r="G12" s="32" t="s">
        <v>16</v>
      </c>
      <c r="H12" s="33" t="s">
        <v>83</v>
      </c>
      <c r="I12" s="45" t="s">
        <v>245</v>
      </c>
      <c r="J12" s="41"/>
    </row>
    <row r="13" spans="2:10" ht="50" customHeight="1" x14ac:dyDescent="0.3">
      <c r="B13" s="29">
        <v>11</v>
      </c>
      <c r="C13" s="30" t="s">
        <v>88</v>
      </c>
      <c r="D13" s="31" t="s">
        <v>89</v>
      </c>
      <c r="E13" s="31" t="s">
        <v>90</v>
      </c>
      <c r="F13" s="8" t="s">
        <v>92</v>
      </c>
      <c r="G13" s="32" t="s">
        <v>148</v>
      </c>
      <c r="H13" s="33" t="s">
        <v>91</v>
      </c>
      <c r="I13" s="45" t="s">
        <v>245</v>
      </c>
      <c r="J13" s="41"/>
    </row>
    <row r="14" spans="2:10" ht="50" customHeight="1" x14ac:dyDescent="0.3">
      <c r="B14" s="29">
        <v>12</v>
      </c>
      <c r="C14" s="30" t="s">
        <v>88</v>
      </c>
      <c r="D14" s="31" t="s">
        <v>89</v>
      </c>
      <c r="E14" s="31" t="s">
        <v>90</v>
      </c>
      <c r="F14" s="8" t="s">
        <v>92</v>
      </c>
      <c r="G14" s="32" t="s">
        <v>147</v>
      </c>
      <c r="H14" s="33" t="s">
        <v>96</v>
      </c>
      <c r="I14" s="45" t="s">
        <v>245</v>
      </c>
      <c r="J14" s="41"/>
    </row>
    <row r="15" spans="2:10" ht="50" customHeight="1" x14ac:dyDescent="0.3">
      <c r="B15" s="29">
        <v>13</v>
      </c>
      <c r="C15" s="30" t="s">
        <v>88</v>
      </c>
      <c r="D15" s="31" t="s">
        <v>89</v>
      </c>
      <c r="E15" s="31" t="s">
        <v>90</v>
      </c>
      <c r="F15" s="8" t="s">
        <v>92</v>
      </c>
      <c r="G15" s="32" t="s">
        <v>149</v>
      </c>
      <c r="H15" s="33" t="s">
        <v>100</v>
      </c>
      <c r="I15" s="45" t="s">
        <v>245</v>
      </c>
      <c r="J15" s="41"/>
    </row>
    <row r="16" spans="2:10" ht="50" customHeight="1" x14ac:dyDescent="0.3">
      <c r="B16" s="29">
        <v>14</v>
      </c>
      <c r="C16" s="30" t="s">
        <v>88</v>
      </c>
      <c r="D16" s="31" t="s">
        <v>89</v>
      </c>
      <c r="E16" s="31" t="s">
        <v>90</v>
      </c>
      <c r="F16" s="8" t="s">
        <v>92</v>
      </c>
      <c r="G16" s="32" t="s">
        <v>150</v>
      </c>
      <c r="H16" s="33" t="s">
        <v>104</v>
      </c>
      <c r="I16" s="45" t="s">
        <v>245</v>
      </c>
      <c r="J16" s="41"/>
    </row>
    <row r="17" spans="2:11" ht="50" customHeight="1" x14ac:dyDescent="0.3">
      <c r="B17" s="29">
        <v>15</v>
      </c>
      <c r="C17" s="30" t="s">
        <v>88</v>
      </c>
      <c r="D17" s="31" t="s">
        <v>89</v>
      </c>
      <c r="E17" s="31" t="s">
        <v>90</v>
      </c>
      <c r="F17" s="8" t="s">
        <v>92</v>
      </c>
      <c r="G17" s="32" t="s">
        <v>151</v>
      </c>
      <c r="H17" s="33" t="s">
        <v>108</v>
      </c>
      <c r="I17" s="45" t="s">
        <v>245</v>
      </c>
      <c r="J17" s="41"/>
    </row>
    <row r="18" spans="2:11" ht="50" customHeight="1" x14ac:dyDescent="0.3">
      <c r="B18" s="29">
        <v>16</v>
      </c>
      <c r="C18" s="30" t="s">
        <v>88</v>
      </c>
      <c r="D18" s="31" t="s">
        <v>89</v>
      </c>
      <c r="E18" s="31" t="s">
        <v>90</v>
      </c>
      <c r="F18" s="8" t="s">
        <v>92</v>
      </c>
      <c r="G18" s="32" t="s">
        <v>152</v>
      </c>
      <c r="H18" s="33" t="s">
        <v>112</v>
      </c>
      <c r="I18" s="45" t="s">
        <v>245</v>
      </c>
      <c r="J18" s="41"/>
    </row>
    <row r="19" spans="2:11" ht="50" customHeight="1" x14ac:dyDescent="0.3">
      <c r="B19" s="29">
        <v>17</v>
      </c>
      <c r="C19" s="29" t="s">
        <v>116</v>
      </c>
      <c r="D19" s="32" t="s">
        <v>117</v>
      </c>
      <c r="E19" s="32" t="s">
        <v>118</v>
      </c>
      <c r="F19" s="8" t="s">
        <v>121</v>
      </c>
      <c r="G19" s="32" t="s">
        <v>119</v>
      </c>
      <c r="H19" s="33" t="s">
        <v>120</v>
      </c>
      <c r="I19" s="45" t="s">
        <v>245</v>
      </c>
      <c r="J19" s="41"/>
    </row>
    <row r="20" spans="2:11" ht="50" customHeight="1" x14ac:dyDescent="0.3">
      <c r="B20" s="29">
        <v>18</v>
      </c>
      <c r="C20" s="29" t="s">
        <v>125</v>
      </c>
      <c r="D20" s="32" t="s">
        <v>126</v>
      </c>
      <c r="E20" s="32" t="s">
        <v>127</v>
      </c>
      <c r="F20" s="8" t="s">
        <v>129</v>
      </c>
      <c r="G20" s="32" t="s">
        <v>157</v>
      </c>
      <c r="H20" s="33" t="s">
        <v>128</v>
      </c>
      <c r="I20" s="45" t="s">
        <v>245</v>
      </c>
      <c r="J20" s="41"/>
    </row>
    <row r="21" spans="2:11" ht="50" customHeight="1" x14ac:dyDescent="0.3">
      <c r="B21" s="29">
        <v>19</v>
      </c>
      <c r="C21" s="30" t="s">
        <v>165</v>
      </c>
      <c r="D21" s="31" t="s">
        <v>167</v>
      </c>
      <c r="E21" s="31" t="s">
        <v>173</v>
      </c>
      <c r="F21" s="8" t="s">
        <v>169</v>
      </c>
      <c r="G21" s="32" t="s">
        <v>28</v>
      </c>
      <c r="H21" s="33" t="s">
        <v>168</v>
      </c>
      <c r="I21" s="45" t="s">
        <v>245</v>
      </c>
      <c r="J21" s="51" t="s">
        <v>266</v>
      </c>
    </row>
    <row r="22" spans="2:11" ht="75" x14ac:dyDescent="0.3">
      <c r="B22" s="29">
        <v>20</v>
      </c>
      <c r="C22" s="29" t="s">
        <v>211</v>
      </c>
      <c r="D22" s="34" t="s">
        <v>200</v>
      </c>
      <c r="E22" s="34" t="s">
        <v>201</v>
      </c>
      <c r="F22" s="8" t="s">
        <v>204</v>
      </c>
      <c r="G22" s="32" t="s">
        <v>202</v>
      </c>
      <c r="H22" s="33" t="s">
        <v>203</v>
      </c>
      <c r="I22" s="45" t="s">
        <v>245</v>
      </c>
      <c r="J22" s="51" t="s">
        <v>266</v>
      </c>
      <c r="K22" s="34" t="s">
        <v>268</v>
      </c>
    </row>
    <row r="23" spans="2:11" ht="50" customHeight="1" x14ac:dyDescent="0.3">
      <c r="B23" s="29">
        <v>21</v>
      </c>
      <c r="C23" s="29" t="s">
        <v>164</v>
      </c>
      <c r="D23" s="32" t="s">
        <v>161</v>
      </c>
      <c r="E23" s="32" t="s">
        <v>160</v>
      </c>
      <c r="F23" s="12" t="s">
        <v>163</v>
      </c>
      <c r="G23" s="32" t="s">
        <v>158</v>
      </c>
      <c r="H23" s="35" t="s">
        <v>162</v>
      </c>
      <c r="I23" s="45" t="s">
        <v>245</v>
      </c>
      <c r="J23" s="51" t="s">
        <v>266</v>
      </c>
    </row>
    <row r="24" spans="2:11" ht="50" customHeight="1" x14ac:dyDescent="0.3">
      <c r="B24" s="29">
        <v>22</v>
      </c>
      <c r="C24" s="30" t="s">
        <v>166</v>
      </c>
      <c r="D24" s="31" t="s">
        <v>182</v>
      </c>
      <c r="E24" s="31" t="s">
        <v>183</v>
      </c>
      <c r="F24" s="8" t="s">
        <v>199</v>
      </c>
      <c r="G24" s="32" t="s">
        <v>184</v>
      </c>
      <c r="H24" s="33" t="s">
        <v>194</v>
      </c>
      <c r="I24" s="45" t="s">
        <v>245</v>
      </c>
      <c r="J24" s="34"/>
    </row>
    <row r="25" spans="2:11" ht="50" customHeight="1" x14ac:dyDescent="0.3">
      <c r="B25" s="29">
        <v>23</v>
      </c>
      <c r="C25" s="30" t="s">
        <v>166</v>
      </c>
      <c r="D25" s="31" t="s">
        <v>182</v>
      </c>
      <c r="E25" s="31" t="s">
        <v>183</v>
      </c>
      <c r="F25" s="8" t="s">
        <v>199</v>
      </c>
      <c r="G25" s="32" t="s">
        <v>186</v>
      </c>
      <c r="H25" s="33" t="s">
        <v>195</v>
      </c>
      <c r="I25" s="45" t="s">
        <v>245</v>
      </c>
      <c r="J25" s="34"/>
    </row>
    <row r="26" spans="2:11" ht="50" customHeight="1" x14ac:dyDescent="0.3">
      <c r="B26" s="29">
        <v>24</v>
      </c>
      <c r="C26" s="30" t="s">
        <v>166</v>
      </c>
      <c r="D26" s="31" t="s">
        <v>182</v>
      </c>
      <c r="E26" s="31" t="s">
        <v>183</v>
      </c>
      <c r="F26" s="8" t="s">
        <v>199</v>
      </c>
      <c r="G26" s="32" t="s">
        <v>187</v>
      </c>
      <c r="H26" s="33" t="s">
        <v>196</v>
      </c>
      <c r="I26" s="45" t="s">
        <v>245</v>
      </c>
      <c r="J26" s="34"/>
    </row>
    <row r="27" spans="2:11" ht="50" customHeight="1" x14ac:dyDescent="0.3">
      <c r="B27" s="29">
        <v>25</v>
      </c>
      <c r="C27" s="30" t="s">
        <v>166</v>
      </c>
      <c r="D27" s="31" t="s">
        <v>182</v>
      </c>
      <c r="E27" s="31" t="s">
        <v>183</v>
      </c>
      <c r="F27" s="8" t="s">
        <v>199</v>
      </c>
      <c r="G27" s="32" t="s">
        <v>188</v>
      </c>
      <c r="H27" s="33" t="s">
        <v>197</v>
      </c>
      <c r="I27" s="45" t="s">
        <v>245</v>
      </c>
      <c r="J27" s="34"/>
    </row>
    <row r="28" spans="2:11" ht="50" customHeight="1" x14ac:dyDescent="0.3">
      <c r="B28" s="29">
        <v>26</v>
      </c>
      <c r="C28" s="30" t="s">
        <v>166</v>
      </c>
      <c r="D28" s="31" t="s">
        <v>182</v>
      </c>
      <c r="E28" s="31" t="s">
        <v>183</v>
      </c>
      <c r="F28" s="8" t="s">
        <v>199</v>
      </c>
      <c r="G28" s="32" t="s">
        <v>189</v>
      </c>
      <c r="H28" s="33" t="s">
        <v>198</v>
      </c>
      <c r="I28" s="45" t="s">
        <v>245</v>
      </c>
      <c r="J28" s="34"/>
    </row>
    <row r="29" spans="2:11" ht="50" customHeight="1" x14ac:dyDescent="0.3">
      <c r="B29" s="29">
        <v>27</v>
      </c>
      <c r="C29" s="30" t="s">
        <v>234</v>
      </c>
      <c r="D29" s="31" t="s">
        <v>139</v>
      </c>
      <c r="E29" s="31" t="s">
        <v>140</v>
      </c>
      <c r="F29" s="8" t="s">
        <v>142</v>
      </c>
      <c r="G29" s="32" t="s">
        <v>252</v>
      </c>
      <c r="H29" s="33" t="s">
        <v>141</v>
      </c>
      <c r="I29" s="45" t="s">
        <v>245</v>
      </c>
      <c r="J29" s="51" t="s">
        <v>266</v>
      </c>
    </row>
    <row r="30" spans="2:11" ht="50" customHeight="1" x14ac:dyDescent="0.3">
      <c r="B30" s="29">
        <v>28</v>
      </c>
      <c r="C30" s="30" t="s">
        <v>234</v>
      </c>
      <c r="D30" s="31" t="s">
        <v>139</v>
      </c>
      <c r="E30" s="31" t="s">
        <v>140</v>
      </c>
      <c r="F30" s="12" t="s">
        <v>143</v>
      </c>
      <c r="G30" s="36" t="s">
        <v>16</v>
      </c>
      <c r="H30" s="35" t="s">
        <v>83</v>
      </c>
      <c r="I30" s="45" t="s">
        <v>245</v>
      </c>
      <c r="J30" s="51" t="s">
        <v>266</v>
      </c>
    </row>
    <row r="31" spans="2:11" ht="50" customHeight="1" x14ac:dyDescent="0.3">
      <c r="B31" s="29">
        <v>29</v>
      </c>
      <c r="C31" s="30" t="s">
        <v>234</v>
      </c>
      <c r="D31" s="34" t="s">
        <v>139</v>
      </c>
      <c r="E31" s="34" t="s">
        <v>140</v>
      </c>
      <c r="F31" s="8" t="s">
        <v>144</v>
      </c>
      <c r="G31" s="32" t="s">
        <v>76</v>
      </c>
      <c r="H31" s="32" t="s">
        <v>77</v>
      </c>
      <c r="I31" s="45" t="s">
        <v>245</v>
      </c>
      <c r="J31" s="51" t="s">
        <v>266</v>
      </c>
    </row>
    <row r="32" spans="2:11" ht="50" customHeight="1" x14ac:dyDescent="0.3">
      <c r="B32" s="29">
        <v>30</v>
      </c>
      <c r="C32" s="29" t="s">
        <v>13</v>
      </c>
      <c r="D32" s="32" t="s">
        <v>14</v>
      </c>
      <c r="E32" s="32" t="s">
        <v>15</v>
      </c>
      <c r="F32" s="8" t="s">
        <v>132</v>
      </c>
      <c r="G32" s="32" t="s">
        <v>130</v>
      </c>
      <c r="H32" s="33" t="s">
        <v>131</v>
      </c>
      <c r="I32" s="41"/>
      <c r="J32" s="34"/>
    </row>
    <row r="33" spans="2:10" ht="50" customHeight="1" x14ac:dyDescent="0.3">
      <c r="B33" s="59">
        <v>31</v>
      </c>
      <c r="C33" s="59" t="s">
        <v>133</v>
      </c>
      <c r="D33" s="60" t="s">
        <v>134</v>
      </c>
      <c r="E33" s="60" t="s">
        <v>135</v>
      </c>
      <c r="F33" s="52" t="s">
        <v>138</v>
      </c>
      <c r="G33" s="60" t="s">
        <v>136</v>
      </c>
      <c r="H33" s="61" t="s">
        <v>137</v>
      </c>
      <c r="I33" s="62"/>
      <c r="J33" s="63" t="s">
        <v>302</v>
      </c>
    </row>
    <row r="34" spans="2:10" ht="50" customHeight="1" x14ac:dyDescent="0.3">
      <c r="B34" s="29">
        <v>32</v>
      </c>
      <c r="C34" s="37" t="s">
        <v>165</v>
      </c>
      <c r="D34" s="38" t="s">
        <v>167</v>
      </c>
      <c r="E34" s="38" t="s">
        <v>173</v>
      </c>
      <c r="F34" s="22" t="s">
        <v>177</v>
      </c>
      <c r="G34" s="39" t="s">
        <v>175</v>
      </c>
      <c r="H34" s="40" t="s">
        <v>176</v>
      </c>
      <c r="I34" s="45" t="s">
        <v>245</v>
      </c>
      <c r="J34" s="51" t="s">
        <v>266</v>
      </c>
    </row>
    <row r="35" spans="2:10" ht="50" customHeight="1" x14ac:dyDescent="0.3">
      <c r="B35" s="29">
        <v>33</v>
      </c>
      <c r="C35" s="37" t="s">
        <v>165</v>
      </c>
      <c r="D35" s="38" t="s">
        <v>167</v>
      </c>
      <c r="E35" s="38" t="s">
        <v>173</v>
      </c>
      <c r="F35" s="22" t="s">
        <v>180</v>
      </c>
      <c r="G35" s="39" t="s">
        <v>157</v>
      </c>
      <c r="H35" s="40" t="s">
        <v>179</v>
      </c>
      <c r="I35" s="45" t="s">
        <v>245</v>
      </c>
      <c r="J35" s="51" t="s">
        <v>266</v>
      </c>
    </row>
    <row r="36" spans="2:10" ht="50" customHeight="1" x14ac:dyDescent="0.3">
      <c r="B36" s="29">
        <v>34</v>
      </c>
      <c r="C36" s="29" t="s">
        <v>164</v>
      </c>
      <c r="D36" s="32" t="s">
        <v>161</v>
      </c>
      <c r="E36" s="32" t="s">
        <v>160</v>
      </c>
      <c r="F36" s="8" t="s">
        <v>215</v>
      </c>
      <c r="G36" s="32" t="s">
        <v>217</v>
      </c>
      <c r="H36" s="33" t="s">
        <v>214</v>
      </c>
      <c r="I36" s="45" t="s">
        <v>245</v>
      </c>
      <c r="J36" s="51" t="s">
        <v>266</v>
      </c>
    </row>
  </sheetData>
  <autoFilter ref="E2:H36" xr:uid="{369C10E1-3A1B-48E1-8705-5D6643E6D4D6}"/>
  <mergeCells count="1"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Mã hồ sơ_ 2025</vt:lpstr>
      <vt:lpstr>Mã hồ sơ _ 2026</vt:lpstr>
      <vt:lpstr>Phiếu kiểm nghiệm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Trang Truong</cp:lastModifiedBy>
  <cp:lastPrinted>2026-03-09T02:14:30Z</cp:lastPrinted>
  <dcterms:created xsi:type="dcterms:W3CDTF">2025-12-04T06:02:04Z</dcterms:created>
  <dcterms:modified xsi:type="dcterms:W3CDTF">2026-03-21T15:02:25Z</dcterms:modified>
</cp:coreProperties>
</file>