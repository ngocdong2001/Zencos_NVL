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HI NHÁNH LONG AN\TRINH\"/>
    </mc:Choice>
  </mc:AlternateContent>
  <xr:revisionPtr revIDLastSave="0" documentId="8_{626D844E-34D5-4245-9FDF-42029C83A286}" xr6:coauthVersionLast="47" xr6:coauthVersionMax="47" xr10:uidLastSave="{00000000-0000-0000-0000-000000000000}"/>
  <bookViews>
    <workbookView xWindow="-110" yWindow="-110" windowWidth="25820" windowHeight="15500" tabRatio="511" xr2:uid="{00000000-000D-0000-FFFF-FFFF00000000}"/>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5" i="1" l="1"/>
  <c r="I316" i="1"/>
  <c r="I301" i="1" l="1"/>
  <c r="AO301" i="1" s="1"/>
  <c r="AP301" i="1" s="1"/>
  <c r="I302" i="1"/>
  <c r="AO302" i="1" s="1"/>
  <c r="AP302" i="1" s="1"/>
  <c r="I303" i="1"/>
  <c r="AO303" i="1" s="1"/>
  <c r="AP303" i="1" s="1"/>
  <c r="I304" i="1"/>
  <c r="AO304" i="1" s="1"/>
  <c r="AP304" i="1" s="1"/>
  <c r="I305" i="1"/>
  <c r="AO305" i="1" s="1"/>
  <c r="AP305" i="1" s="1"/>
  <c r="I306" i="1"/>
  <c r="AO306" i="1" s="1"/>
  <c r="AP306" i="1" s="1"/>
  <c r="I307" i="1"/>
  <c r="AO307" i="1" s="1"/>
  <c r="AP307" i="1" s="1"/>
  <c r="I308" i="1"/>
  <c r="AO308" i="1" s="1"/>
  <c r="AP308" i="1" s="1"/>
  <c r="K301" i="1"/>
  <c r="K302" i="1"/>
  <c r="K303" i="1"/>
  <c r="K304" i="1"/>
  <c r="K305" i="1"/>
  <c r="K306" i="1"/>
  <c r="K307" i="1"/>
  <c r="K308" i="1"/>
  <c r="I309" i="1"/>
  <c r="I310" i="1"/>
  <c r="I311" i="1"/>
  <c r="I312" i="1"/>
  <c r="K309" i="1"/>
  <c r="K310" i="1"/>
  <c r="K311" i="1"/>
  <c r="K312" i="1"/>
  <c r="AO309" i="1"/>
  <c r="AP309" i="1" s="1"/>
  <c r="AO310" i="1"/>
  <c r="AP310" i="1" s="1"/>
  <c r="AO311" i="1"/>
  <c r="AP311" i="1" s="1"/>
  <c r="AO312" i="1"/>
  <c r="AP312" i="1" s="1"/>
  <c r="I313" i="1"/>
  <c r="AO313" i="1" s="1"/>
  <c r="AP313" i="1" s="1"/>
  <c r="I314" i="1"/>
  <c r="AO314" i="1" s="1"/>
  <c r="AP314" i="1" s="1"/>
  <c r="K313" i="1"/>
  <c r="K314" i="1"/>
  <c r="AO315" i="1"/>
  <c r="AP315" i="1" s="1"/>
  <c r="AO316" i="1"/>
  <c r="AP316" i="1" s="1"/>
  <c r="K315" i="1"/>
  <c r="K316" i="1"/>
  <c r="I295" i="1" l="1"/>
  <c r="AO295" i="1" s="1"/>
  <c r="AP295" i="1" s="1"/>
  <c r="I296" i="1"/>
  <c r="AO296" i="1" s="1"/>
  <c r="AP296" i="1" s="1"/>
  <c r="I297" i="1"/>
  <c r="AO297" i="1" s="1"/>
  <c r="AP297" i="1" s="1"/>
  <c r="I298" i="1"/>
  <c r="AO298" i="1" s="1"/>
  <c r="AP298" i="1" s="1"/>
  <c r="K295" i="1"/>
  <c r="K296" i="1"/>
  <c r="K297" i="1"/>
  <c r="K298" i="1"/>
  <c r="I283" i="1"/>
  <c r="AO283" i="1" s="1"/>
  <c r="AP283" i="1" s="1"/>
  <c r="I284" i="1"/>
  <c r="AO284" i="1" s="1"/>
  <c r="AP284" i="1" s="1"/>
  <c r="I285" i="1"/>
  <c r="AO285" i="1" s="1"/>
  <c r="AP285" i="1" s="1"/>
  <c r="I286" i="1"/>
  <c r="AO286" i="1" s="1"/>
  <c r="AP286" i="1" s="1"/>
  <c r="I287" i="1"/>
  <c r="AO287" i="1" s="1"/>
  <c r="AP287" i="1" s="1"/>
  <c r="I288" i="1"/>
  <c r="AO288" i="1" s="1"/>
  <c r="AP288" i="1" s="1"/>
  <c r="I289" i="1"/>
  <c r="AO289" i="1" s="1"/>
  <c r="AP289" i="1" s="1"/>
  <c r="I290" i="1"/>
  <c r="AO290" i="1" s="1"/>
  <c r="AP290" i="1" s="1"/>
  <c r="K283" i="1"/>
  <c r="K284" i="1"/>
  <c r="K285" i="1"/>
  <c r="K286" i="1"/>
  <c r="K287" i="1"/>
  <c r="K288" i="1"/>
  <c r="K289" i="1"/>
  <c r="K290" i="1"/>
  <c r="I291" i="1"/>
  <c r="I292" i="1"/>
  <c r="AO292" i="1" s="1"/>
  <c r="AP292" i="1" s="1"/>
  <c r="I293" i="1"/>
  <c r="AO293" i="1" s="1"/>
  <c r="AP293" i="1" s="1"/>
  <c r="I294" i="1"/>
  <c r="AO294" i="1" s="1"/>
  <c r="AP294" i="1" s="1"/>
  <c r="K291" i="1"/>
  <c r="K292" i="1"/>
  <c r="K293" i="1"/>
  <c r="K294" i="1"/>
  <c r="AO291" i="1"/>
  <c r="AP291" i="1" s="1"/>
  <c r="I299" i="1"/>
  <c r="AO299" i="1" s="1"/>
  <c r="AP299" i="1" s="1"/>
  <c r="I300" i="1"/>
  <c r="AO300" i="1" s="1"/>
  <c r="AP300" i="1" s="1"/>
  <c r="K299" i="1"/>
  <c r="K300" i="1"/>
  <c r="I317" i="1"/>
  <c r="AO317" i="1" s="1"/>
  <c r="AP317" i="1" s="1"/>
  <c r="K317" i="1"/>
  <c r="I318" i="1"/>
  <c r="AO318" i="1" s="1"/>
  <c r="AP318" i="1" s="1"/>
  <c r="K318" i="1"/>
  <c r="AO279" i="1" l="1"/>
  <c r="AP279" i="1" s="1"/>
  <c r="AO276" i="1"/>
  <c r="AP276" i="1" s="1"/>
  <c r="I4" i="1"/>
  <c r="AO4" i="1" s="1"/>
  <c r="AP4" i="1" s="1"/>
  <c r="AP319" i="1" s="1"/>
  <c r="I11" i="1"/>
  <c r="AO11" i="1" s="1"/>
  <c r="AP11" i="1" s="1"/>
  <c r="I71" i="1"/>
  <c r="AO71" i="1" s="1"/>
  <c r="AP71" i="1" s="1"/>
  <c r="I5" i="1"/>
  <c r="AO5" i="1" s="1"/>
  <c r="AP5" i="1" s="1"/>
  <c r="I6" i="1"/>
  <c r="AO6" i="1" s="1"/>
  <c r="AP6" i="1" s="1"/>
  <c r="I7" i="1"/>
  <c r="AO7" i="1" s="1"/>
  <c r="AP7" i="1" s="1"/>
  <c r="AO8" i="1"/>
  <c r="AP8" i="1" s="1"/>
  <c r="AO9" i="1"/>
  <c r="AP9" i="1" s="1"/>
  <c r="AO10" i="1"/>
  <c r="AP10" i="1" s="1"/>
  <c r="AO12" i="1"/>
  <c r="AP12" i="1" s="1"/>
  <c r="AO13" i="1"/>
  <c r="AP13" i="1" s="1"/>
  <c r="AO14" i="1"/>
  <c r="AP14" i="1" s="1"/>
  <c r="AO15" i="1"/>
  <c r="AP15" i="1" s="1"/>
  <c r="I16" i="1"/>
  <c r="AO16" i="1" s="1"/>
  <c r="AP16" i="1" s="1"/>
  <c r="AO17" i="1"/>
  <c r="AP17" i="1" s="1"/>
  <c r="I18" i="1"/>
  <c r="AO18" i="1" s="1"/>
  <c r="AP18" i="1" s="1"/>
  <c r="I19" i="1"/>
  <c r="AO19" i="1" s="1"/>
  <c r="AP19" i="1" s="1"/>
  <c r="I20" i="1"/>
  <c r="AO20" i="1" s="1"/>
  <c r="AP20" i="1" s="1"/>
  <c r="I21" i="1"/>
  <c r="AO21" i="1" s="1"/>
  <c r="AP21" i="1" s="1"/>
  <c r="AO22" i="1"/>
  <c r="AP22" i="1" s="1"/>
  <c r="I23" i="1"/>
  <c r="AO23" i="1" s="1"/>
  <c r="AP23" i="1" s="1"/>
  <c r="I24" i="1"/>
  <c r="AO24" i="1" s="1"/>
  <c r="AP24" i="1" s="1"/>
  <c r="I25" i="1"/>
  <c r="AO25" i="1" s="1"/>
  <c r="AP25" i="1" s="1"/>
  <c r="I26" i="1"/>
  <c r="O26" i="1"/>
  <c r="I27" i="1"/>
  <c r="AO27" i="1" s="1"/>
  <c r="AP27" i="1" s="1"/>
  <c r="I28" i="1"/>
  <c r="AO28" i="1" s="1"/>
  <c r="AP28" i="1" s="1"/>
  <c r="I29" i="1"/>
  <c r="AO29" i="1" s="1"/>
  <c r="AP29" i="1" s="1"/>
  <c r="I30" i="1"/>
  <c r="AO30" i="1" s="1"/>
  <c r="AP30" i="1" s="1"/>
  <c r="I31" i="1"/>
  <c r="AO31" i="1" s="1"/>
  <c r="AP31" i="1" s="1"/>
  <c r="I32" i="1"/>
  <c r="AO32" i="1" s="1"/>
  <c r="AP32" i="1" s="1"/>
  <c r="I33" i="1"/>
  <c r="AO33" i="1" s="1"/>
  <c r="AP33" i="1" s="1"/>
  <c r="I34" i="1"/>
  <c r="AO34" i="1" s="1"/>
  <c r="AP34" i="1" s="1"/>
  <c r="I35" i="1"/>
  <c r="AO35" i="1" s="1"/>
  <c r="AP35" i="1" s="1"/>
  <c r="I36" i="1"/>
  <c r="AO36" i="1" s="1"/>
  <c r="AP36" i="1" s="1"/>
  <c r="I37" i="1"/>
  <c r="AO37" i="1" s="1"/>
  <c r="AP37" i="1" s="1"/>
  <c r="I38" i="1"/>
  <c r="AO38" i="1" s="1"/>
  <c r="AP38" i="1" s="1"/>
  <c r="I39" i="1"/>
  <c r="AO39" i="1" s="1"/>
  <c r="AP39" i="1" s="1"/>
  <c r="I40" i="1"/>
  <c r="AO40" i="1" s="1"/>
  <c r="AP40" i="1" s="1"/>
  <c r="AO41" i="1"/>
  <c r="AP41" i="1" s="1"/>
  <c r="AO42" i="1"/>
  <c r="AP42" i="1" s="1"/>
  <c r="AO43" i="1"/>
  <c r="AP43" i="1" s="1"/>
  <c r="AO44" i="1"/>
  <c r="AP44" i="1" s="1"/>
  <c r="I45" i="1"/>
  <c r="AO45" i="1" s="1"/>
  <c r="AP45" i="1" s="1"/>
  <c r="AO46" i="1"/>
  <c r="AP46" i="1" s="1"/>
  <c r="I47" i="1"/>
  <c r="AO47" i="1" s="1"/>
  <c r="AP47" i="1" s="1"/>
  <c r="AO48" i="1"/>
  <c r="AP48" i="1" s="1"/>
  <c r="AO49" i="1"/>
  <c r="AP49" i="1" s="1"/>
  <c r="F50" i="1"/>
  <c r="AO51" i="1"/>
  <c r="AP51" i="1" s="1"/>
  <c r="I52" i="1"/>
  <c r="AO52" i="1" s="1"/>
  <c r="AP52" i="1" s="1"/>
  <c r="AO53" i="1"/>
  <c r="AP53" i="1" s="1"/>
  <c r="I54" i="1"/>
  <c r="AO54" i="1" s="1"/>
  <c r="AP54" i="1" s="1"/>
  <c r="I55" i="1"/>
  <c r="AO55" i="1" s="1"/>
  <c r="AP55" i="1" s="1"/>
  <c r="I56" i="1"/>
  <c r="AO56" i="1" s="1"/>
  <c r="AP56" i="1" s="1"/>
  <c r="I57" i="1"/>
  <c r="AO57" i="1" s="1"/>
  <c r="AP57" i="1" s="1"/>
  <c r="I58" i="1"/>
  <c r="AO58" i="1" s="1"/>
  <c r="AP58" i="1" s="1"/>
  <c r="I59" i="1"/>
  <c r="AO59" i="1" s="1"/>
  <c r="AP59" i="1" s="1"/>
  <c r="I60" i="1"/>
  <c r="AO60" i="1" s="1"/>
  <c r="AP60" i="1" s="1"/>
  <c r="I61" i="1"/>
  <c r="AO61" i="1" s="1"/>
  <c r="AP61" i="1" s="1"/>
  <c r="I62" i="1"/>
  <c r="AO62" i="1" s="1"/>
  <c r="AP62" i="1" s="1"/>
  <c r="AO63" i="1"/>
  <c r="AP63" i="1" s="1"/>
  <c r="I64" i="1"/>
  <c r="AO64" i="1" s="1"/>
  <c r="AP64" i="1" s="1"/>
  <c r="I65" i="1"/>
  <c r="AO65" i="1" s="1"/>
  <c r="AP65" i="1" s="1"/>
  <c r="I66" i="1"/>
  <c r="AO66" i="1" s="1"/>
  <c r="AP66" i="1" s="1"/>
  <c r="I67" i="1"/>
  <c r="AO67" i="1" s="1"/>
  <c r="AP67" i="1" s="1"/>
  <c r="I68" i="1"/>
  <c r="AO68" i="1" s="1"/>
  <c r="AP68" i="1" s="1"/>
  <c r="I69" i="1"/>
  <c r="AO69" i="1" s="1"/>
  <c r="AP69" i="1" s="1"/>
  <c r="I70" i="1"/>
  <c r="AO70" i="1" s="1"/>
  <c r="AP70" i="1" s="1"/>
  <c r="I72" i="1"/>
  <c r="AO72" i="1" s="1"/>
  <c r="AP72" i="1" s="1"/>
  <c r="AO73" i="1"/>
  <c r="AP73" i="1" s="1"/>
  <c r="AO74" i="1"/>
  <c r="AP74" i="1" s="1"/>
  <c r="AO75" i="1"/>
  <c r="AP75" i="1" s="1"/>
  <c r="AO76" i="1"/>
  <c r="AP76" i="1" s="1"/>
  <c r="I77" i="1"/>
  <c r="AO77" i="1" s="1"/>
  <c r="AP77" i="1" s="1"/>
  <c r="I78" i="1"/>
  <c r="AO78" i="1" s="1"/>
  <c r="AP78" i="1" s="1"/>
  <c r="I79" i="1"/>
  <c r="AO79" i="1" s="1"/>
  <c r="AP79" i="1" s="1"/>
  <c r="I80" i="1"/>
  <c r="AO80" i="1" s="1"/>
  <c r="AP80" i="1" s="1"/>
  <c r="I81" i="1"/>
  <c r="AO81" i="1" s="1"/>
  <c r="AP81" i="1" s="1"/>
  <c r="I82" i="1"/>
  <c r="AO82" i="1" s="1"/>
  <c r="AP82" i="1" s="1"/>
  <c r="AO83" i="1"/>
  <c r="AP83" i="1" s="1"/>
  <c r="I84" i="1"/>
  <c r="AO84" i="1" s="1"/>
  <c r="AP84" i="1" s="1"/>
  <c r="AO85" i="1"/>
  <c r="AP85" i="1" s="1"/>
  <c r="I86" i="1"/>
  <c r="AO86" i="1" s="1"/>
  <c r="AP86" i="1" s="1"/>
  <c r="I87" i="1"/>
  <c r="AO87" i="1" s="1"/>
  <c r="AP87" i="1" s="1"/>
  <c r="I88" i="1"/>
  <c r="AO88" i="1" s="1"/>
  <c r="AP88" i="1" s="1"/>
  <c r="I89" i="1"/>
  <c r="AO89" i="1" s="1"/>
  <c r="AP89" i="1" s="1"/>
  <c r="I90" i="1"/>
  <c r="AO90" i="1" s="1"/>
  <c r="AP90" i="1" s="1"/>
  <c r="I91" i="1"/>
  <c r="AO91" i="1" s="1"/>
  <c r="AP91" i="1" s="1"/>
  <c r="I92" i="1"/>
  <c r="AO92" i="1" s="1"/>
  <c r="AP92" i="1" s="1"/>
  <c r="I93" i="1"/>
  <c r="AO93" i="1" s="1"/>
  <c r="AP93" i="1" s="1"/>
  <c r="I94" i="1"/>
  <c r="AO94" i="1" s="1"/>
  <c r="AP94" i="1" s="1"/>
  <c r="I95" i="1"/>
  <c r="AO95" i="1" s="1"/>
  <c r="AP95" i="1" s="1"/>
  <c r="I96" i="1"/>
  <c r="AO96" i="1" s="1"/>
  <c r="AP96" i="1" s="1"/>
  <c r="I97" i="1"/>
  <c r="AO97" i="1" s="1"/>
  <c r="AP97" i="1" s="1"/>
  <c r="I98" i="1"/>
  <c r="AO98" i="1" s="1"/>
  <c r="AP98" i="1" s="1"/>
  <c r="I99" i="1"/>
  <c r="AO99" i="1" s="1"/>
  <c r="AP99" i="1" s="1"/>
  <c r="I100" i="1"/>
  <c r="AO100" i="1" s="1"/>
  <c r="AP100" i="1" s="1"/>
  <c r="I101" i="1"/>
  <c r="AO101" i="1" s="1"/>
  <c r="AP101" i="1" s="1"/>
  <c r="I102" i="1"/>
  <c r="AO102" i="1" s="1"/>
  <c r="AP102" i="1" s="1"/>
  <c r="I103" i="1"/>
  <c r="AO103" i="1" s="1"/>
  <c r="AP103" i="1" s="1"/>
  <c r="I104" i="1"/>
  <c r="AO104" i="1" s="1"/>
  <c r="AP104" i="1" s="1"/>
  <c r="I105" i="1"/>
  <c r="AO105" i="1" s="1"/>
  <c r="AP105" i="1" s="1"/>
  <c r="I106" i="1"/>
  <c r="AO106" i="1" s="1"/>
  <c r="AP106" i="1" s="1"/>
  <c r="I107" i="1"/>
  <c r="AO107" i="1" s="1"/>
  <c r="AP107" i="1" s="1"/>
  <c r="I108" i="1"/>
  <c r="AO108" i="1" s="1"/>
  <c r="AP108" i="1" s="1"/>
  <c r="I109" i="1"/>
  <c r="AO109" i="1" s="1"/>
  <c r="AP109" i="1" s="1"/>
  <c r="I110" i="1"/>
  <c r="AO110" i="1" s="1"/>
  <c r="AP110" i="1" s="1"/>
  <c r="I111" i="1"/>
  <c r="AO111" i="1" s="1"/>
  <c r="AP111" i="1" s="1"/>
  <c r="I112" i="1"/>
  <c r="AO112" i="1" s="1"/>
  <c r="AP112" i="1" s="1"/>
  <c r="I113" i="1"/>
  <c r="AO113" i="1" s="1"/>
  <c r="AP113" i="1" s="1"/>
  <c r="I114" i="1"/>
  <c r="AO114" i="1" s="1"/>
  <c r="AP114" i="1" s="1"/>
  <c r="I115" i="1"/>
  <c r="AO115" i="1" s="1"/>
  <c r="AP115" i="1" s="1"/>
  <c r="I116" i="1"/>
  <c r="AO116" i="1" s="1"/>
  <c r="AP116" i="1" s="1"/>
  <c r="I117" i="1"/>
  <c r="AO117" i="1" s="1"/>
  <c r="AP117" i="1" s="1"/>
  <c r="AO118" i="1"/>
  <c r="AP118" i="1" s="1"/>
  <c r="AO119" i="1"/>
  <c r="AP119" i="1" s="1"/>
  <c r="AO120" i="1"/>
  <c r="AP120" i="1" s="1"/>
  <c r="AO121" i="1"/>
  <c r="AP121" i="1" s="1"/>
  <c r="AO122" i="1"/>
  <c r="AP122" i="1" s="1"/>
  <c r="AO123" i="1"/>
  <c r="AP123" i="1" s="1"/>
  <c r="AO124" i="1"/>
  <c r="AP124" i="1" s="1"/>
  <c r="I125" i="1"/>
  <c r="AO125" i="1" s="1"/>
  <c r="AP125" i="1" s="1"/>
  <c r="AO126" i="1"/>
  <c r="AP126" i="1" s="1"/>
  <c r="AO127" i="1"/>
  <c r="AP127" i="1" s="1"/>
  <c r="AO128" i="1"/>
  <c r="AP128" i="1" s="1"/>
  <c r="I129" i="1"/>
  <c r="AO129" i="1" s="1"/>
  <c r="AP129" i="1" s="1"/>
  <c r="I130" i="1"/>
  <c r="AO130" i="1" s="1"/>
  <c r="AP130" i="1" s="1"/>
  <c r="I131" i="1"/>
  <c r="AO131" i="1" s="1"/>
  <c r="AP131" i="1" s="1"/>
  <c r="I132" i="1"/>
  <c r="AO132" i="1" s="1"/>
  <c r="AP132" i="1" s="1"/>
  <c r="I133" i="1"/>
  <c r="AO133" i="1" s="1"/>
  <c r="AP133" i="1" s="1"/>
  <c r="I134" i="1"/>
  <c r="AO134" i="1" s="1"/>
  <c r="AP134" i="1" s="1"/>
  <c r="I135" i="1"/>
  <c r="AO135" i="1" s="1"/>
  <c r="AP135" i="1" s="1"/>
  <c r="I136" i="1"/>
  <c r="AO136" i="1" s="1"/>
  <c r="AP136" i="1" s="1"/>
  <c r="I137" i="1"/>
  <c r="AO137" i="1" s="1"/>
  <c r="AP137" i="1" s="1"/>
  <c r="I138" i="1"/>
  <c r="AO138" i="1" s="1"/>
  <c r="AP138" i="1" s="1"/>
  <c r="I139" i="1"/>
  <c r="AO139" i="1" s="1"/>
  <c r="AP139" i="1" s="1"/>
  <c r="I140" i="1"/>
  <c r="AO140" i="1" s="1"/>
  <c r="AP140" i="1" s="1"/>
  <c r="I141" i="1"/>
  <c r="AO141" i="1" s="1"/>
  <c r="AP141" i="1" s="1"/>
  <c r="I142" i="1"/>
  <c r="AO142" i="1" s="1"/>
  <c r="AP142" i="1" s="1"/>
  <c r="I143" i="1"/>
  <c r="AO143" i="1" s="1"/>
  <c r="AP143" i="1" s="1"/>
  <c r="I144" i="1"/>
  <c r="AO144" i="1" s="1"/>
  <c r="AP144" i="1" s="1"/>
  <c r="I145" i="1"/>
  <c r="AO145" i="1" s="1"/>
  <c r="AP145" i="1" s="1"/>
  <c r="I146" i="1"/>
  <c r="AO146" i="1" s="1"/>
  <c r="AP146" i="1" s="1"/>
  <c r="I147" i="1"/>
  <c r="AO147" i="1" s="1"/>
  <c r="AP147" i="1" s="1"/>
  <c r="I148" i="1"/>
  <c r="AO148" i="1" s="1"/>
  <c r="AP148" i="1" s="1"/>
  <c r="I149" i="1"/>
  <c r="AO149" i="1" s="1"/>
  <c r="AP149" i="1" s="1"/>
  <c r="I150" i="1"/>
  <c r="AO150" i="1" s="1"/>
  <c r="AP150" i="1" s="1"/>
  <c r="I151" i="1"/>
  <c r="AO151" i="1" s="1"/>
  <c r="AP151" i="1" s="1"/>
  <c r="I152" i="1"/>
  <c r="AO152" i="1" s="1"/>
  <c r="AP152" i="1" s="1"/>
  <c r="I153" i="1"/>
  <c r="AO153" i="1" s="1"/>
  <c r="AP153" i="1" s="1"/>
  <c r="I154" i="1"/>
  <c r="AO154" i="1" s="1"/>
  <c r="AP154" i="1" s="1"/>
  <c r="I155" i="1"/>
  <c r="AO155" i="1" s="1"/>
  <c r="AP155" i="1" s="1"/>
  <c r="I156" i="1"/>
  <c r="AO156" i="1" s="1"/>
  <c r="AP156" i="1" s="1"/>
  <c r="I157" i="1"/>
  <c r="AO157" i="1" s="1"/>
  <c r="AP157" i="1" s="1"/>
  <c r="I158" i="1"/>
  <c r="AO158" i="1" s="1"/>
  <c r="AP158" i="1" s="1"/>
  <c r="I159" i="1"/>
  <c r="AO159" i="1" s="1"/>
  <c r="AP159" i="1" s="1"/>
  <c r="I160" i="1"/>
  <c r="AO160" i="1" s="1"/>
  <c r="AP160" i="1" s="1"/>
  <c r="I161" i="1"/>
  <c r="AO161" i="1" s="1"/>
  <c r="AP161" i="1" s="1"/>
  <c r="I162" i="1"/>
  <c r="AO162" i="1" s="1"/>
  <c r="AP162" i="1" s="1"/>
  <c r="I163" i="1"/>
  <c r="AO163" i="1" s="1"/>
  <c r="AP163" i="1" s="1"/>
  <c r="I164" i="1"/>
  <c r="AO164" i="1" s="1"/>
  <c r="AP164" i="1" s="1"/>
  <c r="I165" i="1"/>
  <c r="AO165" i="1" s="1"/>
  <c r="AP165" i="1" s="1"/>
  <c r="I166" i="1"/>
  <c r="AO166" i="1" s="1"/>
  <c r="AP166" i="1" s="1"/>
  <c r="I167" i="1"/>
  <c r="AO167" i="1" s="1"/>
  <c r="AP167" i="1" s="1"/>
  <c r="I168" i="1"/>
  <c r="AO168" i="1" s="1"/>
  <c r="AP168" i="1" s="1"/>
  <c r="I169" i="1"/>
  <c r="AO169" i="1" s="1"/>
  <c r="AP169" i="1" s="1"/>
  <c r="I170" i="1"/>
  <c r="AO170" i="1" s="1"/>
  <c r="AP170" i="1" s="1"/>
  <c r="I171" i="1"/>
  <c r="AO171" i="1" s="1"/>
  <c r="AP171" i="1" s="1"/>
  <c r="I172" i="1"/>
  <c r="AO172" i="1" s="1"/>
  <c r="AP172" i="1" s="1"/>
  <c r="I173" i="1"/>
  <c r="AO173" i="1" s="1"/>
  <c r="AP173" i="1" s="1"/>
  <c r="I174" i="1"/>
  <c r="AO174" i="1" s="1"/>
  <c r="AP174" i="1" s="1"/>
  <c r="I175" i="1"/>
  <c r="AO175" i="1" s="1"/>
  <c r="AP175" i="1" s="1"/>
  <c r="I176" i="1"/>
  <c r="AO176" i="1" s="1"/>
  <c r="AP176" i="1" s="1"/>
  <c r="I177" i="1"/>
  <c r="AO177" i="1" s="1"/>
  <c r="AP177" i="1" s="1"/>
  <c r="I178" i="1"/>
  <c r="AO178" i="1" s="1"/>
  <c r="AP178" i="1" s="1"/>
  <c r="I179" i="1"/>
  <c r="AO179" i="1" s="1"/>
  <c r="AP179" i="1" s="1"/>
  <c r="I180" i="1"/>
  <c r="AO180" i="1" s="1"/>
  <c r="AP180" i="1" s="1"/>
  <c r="I181" i="1"/>
  <c r="AO181" i="1" s="1"/>
  <c r="AP181" i="1" s="1"/>
  <c r="I182" i="1"/>
  <c r="AO182" i="1" s="1"/>
  <c r="AP182" i="1" s="1"/>
  <c r="I183" i="1"/>
  <c r="AO183" i="1" s="1"/>
  <c r="AP183" i="1" s="1"/>
  <c r="I184" i="1"/>
  <c r="AO184" i="1" s="1"/>
  <c r="AP184" i="1" s="1"/>
  <c r="I185" i="1"/>
  <c r="AO185" i="1" s="1"/>
  <c r="AP185" i="1" s="1"/>
  <c r="I186" i="1"/>
  <c r="AO186" i="1" s="1"/>
  <c r="AP186" i="1" s="1"/>
  <c r="I187" i="1"/>
  <c r="AO187" i="1" s="1"/>
  <c r="AP187" i="1" s="1"/>
  <c r="AO188" i="1"/>
  <c r="AP188" i="1" s="1"/>
  <c r="AO189" i="1"/>
  <c r="AP189" i="1" s="1"/>
  <c r="AO190" i="1"/>
  <c r="AP190" i="1" s="1"/>
  <c r="I191" i="1"/>
  <c r="AO191" i="1" s="1"/>
  <c r="AP191" i="1" s="1"/>
  <c r="I192" i="1"/>
  <c r="AO192" i="1" s="1"/>
  <c r="AP192" i="1" s="1"/>
  <c r="I193" i="1"/>
  <c r="AO193" i="1" s="1"/>
  <c r="AP193" i="1" s="1"/>
  <c r="I194" i="1"/>
  <c r="AO194" i="1" s="1"/>
  <c r="AP194" i="1" s="1"/>
  <c r="I195" i="1"/>
  <c r="AO195" i="1" s="1"/>
  <c r="AP195" i="1" s="1"/>
  <c r="I196" i="1"/>
  <c r="AO196" i="1" s="1"/>
  <c r="AP196" i="1" s="1"/>
  <c r="I197" i="1"/>
  <c r="AO197" i="1" s="1"/>
  <c r="AP197" i="1" s="1"/>
  <c r="I198" i="1"/>
  <c r="AO198" i="1" s="1"/>
  <c r="AP198" i="1" s="1"/>
  <c r="I199" i="1"/>
  <c r="AO199" i="1" s="1"/>
  <c r="AP199" i="1" s="1"/>
  <c r="I200" i="1"/>
  <c r="AO200" i="1" s="1"/>
  <c r="AP200" i="1" s="1"/>
  <c r="I201" i="1"/>
  <c r="AO201" i="1" s="1"/>
  <c r="AP201" i="1" s="1"/>
  <c r="I202" i="1"/>
  <c r="AO202" i="1" s="1"/>
  <c r="AP202" i="1" s="1"/>
  <c r="AO203" i="1"/>
  <c r="AP203" i="1" s="1"/>
  <c r="AO204" i="1"/>
  <c r="AP204" i="1" s="1"/>
  <c r="AO205" i="1"/>
  <c r="AP205" i="1" s="1"/>
  <c r="I206" i="1"/>
  <c r="AO206" i="1" s="1"/>
  <c r="AP206" i="1" s="1"/>
  <c r="I207" i="1"/>
  <c r="AO207" i="1" s="1"/>
  <c r="AP207" i="1" s="1"/>
  <c r="I208" i="1"/>
  <c r="AO208" i="1" s="1"/>
  <c r="AP208" i="1" s="1"/>
  <c r="AO209" i="1"/>
  <c r="AP209" i="1" s="1"/>
  <c r="AO210" i="1"/>
  <c r="AP210" i="1" s="1"/>
  <c r="I211" i="1"/>
  <c r="AO211" i="1" s="1"/>
  <c r="AP211" i="1" s="1"/>
  <c r="I212" i="1"/>
  <c r="AO212" i="1" s="1"/>
  <c r="AP212" i="1" s="1"/>
  <c r="I213" i="1"/>
  <c r="AO213" i="1" s="1"/>
  <c r="AP213" i="1" s="1"/>
  <c r="AO214" i="1"/>
  <c r="AP214" i="1" s="1"/>
  <c r="I215" i="1"/>
  <c r="AO215" i="1" s="1"/>
  <c r="AP215" i="1" s="1"/>
  <c r="I216" i="1"/>
  <c r="AO216" i="1" s="1"/>
  <c r="AP216" i="1" s="1"/>
  <c r="AO217" i="1"/>
  <c r="AP217" i="1" s="1"/>
  <c r="AO218" i="1"/>
  <c r="AP218" i="1" s="1"/>
  <c r="AO219" i="1"/>
  <c r="AP219" i="1" s="1"/>
  <c r="AO220" i="1"/>
  <c r="AP220" i="1" s="1"/>
  <c r="I221" i="1"/>
  <c r="AO221" i="1" s="1"/>
  <c r="AP221" i="1" s="1"/>
  <c r="I222" i="1"/>
  <c r="AO222" i="1" s="1"/>
  <c r="AP222" i="1" s="1"/>
  <c r="I223" i="1"/>
  <c r="AO223" i="1" s="1"/>
  <c r="AP223" i="1" s="1"/>
  <c r="I224" i="1"/>
  <c r="AO224" i="1" s="1"/>
  <c r="AP224" i="1" s="1"/>
  <c r="I225" i="1"/>
  <c r="AO225" i="1" s="1"/>
  <c r="AP225" i="1" s="1"/>
  <c r="I226" i="1"/>
  <c r="AO226" i="1" s="1"/>
  <c r="AP226" i="1" s="1"/>
  <c r="I227" i="1"/>
  <c r="AO227" i="1" s="1"/>
  <c r="AP227" i="1" s="1"/>
  <c r="I228" i="1"/>
  <c r="AO228" i="1" s="1"/>
  <c r="AP228" i="1" s="1"/>
  <c r="I229" i="1"/>
  <c r="AO229" i="1" s="1"/>
  <c r="AP229" i="1" s="1"/>
  <c r="I230" i="1"/>
  <c r="AO230" i="1" s="1"/>
  <c r="AP230" i="1" s="1"/>
  <c r="I231" i="1"/>
  <c r="AO231" i="1" s="1"/>
  <c r="AP231" i="1" s="1"/>
  <c r="I232" i="1"/>
  <c r="AO232" i="1" s="1"/>
  <c r="AP232" i="1" s="1"/>
  <c r="I233" i="1"/>
  <c r="AO233" i="1" s="1"/>
  <c r="AP233" i="1" s="1"/>
  <c r="I234" i="1"/>
  <c r="AO234" i="1" s="1"/>
  <c r="AP234" i="1" s="1"/>
  <c r="I235" i="1"/>
  <c r="AO235" i="1" s="1"/>
  <c r="AP235" i="1" s="1"/>
  <c r="I236" i="1"/>
  <c r="AO236" i="1" s="1"/>
  <c r="AP236" i="1" s="1"/>
  <c r="I237" i="1"/>
  <c r="AO237" i="1" s="1"/>
  <c r="AP237" i="1" s="1"/>
  <c r="I238" i="1"/>
  <c r="AO238" i="1" s="1"/>
  <c r="AP238" i="1" s="1"/>
  <c r="I239" i="1"/>
  <c r="AO239" i="1" s="1"/>
  <c r="AP239" i="1" s="1"/>
  <c r="I240" i="1"/>
  <c r="AO240" i="1" s="1"/>
  <c r="AP240" i="1" s="1"/>
  <c r="I241" i="1"/>
  <c r="AO241" i="1" s="1"/>
  <c r="AP241" i="1" s="1"/>
  <c r="I242" i="1"/>
  <c r="AO242" i="1" s="1"/>
  <c r="AP242" i="1" s="1"/>
  <c r="I243" i="1"/>
  <c r="AO243" i="1" s="1"/>
  <c r="AP243" i="1" s="1"/>
  <c r="AO244" i="1"/>
  <c r="AP244" i="1" s="1"/>
  <c r="I245" i="1"/>
  <c r="AO245" i="1" s="1"/>
  <c r="AP245" i="1" s="1"/>
  <c r="AO246" i="1"/>
  <c r="AP246" i="1" s="1"/>
  <c r="I247" i="1"/>
  <c r="AO247" i="1" s="1"/>
  <c r="AP247" i="1" s="1"/>
  <c r="I248" i="1"/>
  <c r="AO248" i="1" s="1"/>
  <c r="AP248" i="1" s="1"/>
  <c r="I249" i="1"/>
  <c r="AO249" i="1" s="1"/>
  <c r="AP249" i="1" s="1"/>
  <c r="I250" i="1"/>
  <c r="AO250" i="1" s="1"/>
  <c r="AP250" i="1" s="1"/>
  <c r="I251" i="1"/>
  <c r="AO251" i="1" s="1"/>
  <c r="AP251" i="1" s="1"/>
  <c r="I252" i="1"/>
  <c r="AO252" i="1" s="1"/>
  <c r="AP252" i="1" s="1"/>
  <c r="AO253" i="1"/>
  <c r="AP253" i="1" s="1"/>
  <c r="I254" i="1"/>
  <c r="AO254" i="1" s="1"/>
  <c r="AP254" i="1" s="1"/>
  <c r="I255" i="1"/>
  <c r="AO255" i="1" s="1"/>
  <c r="AP255" i="1" s="1"/>
  <c r="I256" i="1"/>
  <c r="AO256" i="1" s="1"/>
  <c r="AP256" i="1" s="1"/>
  <c r="I257" i="1"/>
  <c r="AO257" i="1" s="1"/>
  <c r="AP257" i="1" s="1"/>
  <c r="I258" i="1"/>
  <c r="AO258" i="1" s="1"/>
  <c r="AP258" i="1" s="1"/>
  <c r="I259" i="1"/>
  <c r="AO259" i="1" s="1"/>
  <c r="AP259" i="1" s="1"/>
  <c r="I260" i="1"/>
  <c r="AO260" i="1" s="1"/>
  <c r="AP260" i="1" s="1"/>
  <c r="I261" i="1"/>
  <c r="AO261" i="1" s="1"/>
  <c r="AP261" i="1" s="1"/>
  <c r="I262" i="1"/>
  <c r="AO262" i="1" s="1"/>
  <c r="AP262" i="1" s="1"/>
  <c r="I263" i="1"/>
  <c r="AO263" i="1" s="1"/>
  <c r="AP263" i="1" s="1"/>
  <c r="I264" i="1"/>
  <c r="AO264" i="1" s="1"/>
  <c r="AP264" i="1" s="1"/>
  <c r="I265" i="1"/>
  <c r="AO265" i="1" s="1"/>
  <c r="AP265" i="1" s="1"/>
  <c r="I266" i="1"/>
  <c r="AO266" i="1" s="1"/>
  <c r="AP266" i="1" s="1"/>
  <c r="I267" i="1"/>
  <c r="AO267" i="1" s="1"/>
  <c r="AP267" i="1" s="1"/>
  <c r="I268" i="1"/>
  <c r="AO268" i="1" s="1"/>
  <c r="AP268" i="1" s="1"/>
  <c r="AO269" i="1"/>
  <c r="AP269" i="1" s="1"/>
  <c r="AO270" i="1"/>
  <c r="AP270" i="1" s="1"/>
  <c r="AO271" i="1"/>
  <c r="AP271" i="1" s="1"/>
  <c r="AO272" i="1"/>
  <c r="AP272" i="1" s="1"/>
  <c r="I273" i="1"/>
  <c r="AO273" i="1" s="1"/>
  <c r="AP273" i="1" s="1"/>
  <c r="I274" i="1"/>
  <c r="AO274" i="1" s="1"/>
  <c r="AP274" i="1" s="1"/>
  <c r="AO275" i="1"/>
  <c r="AP275" i="1" s="1"/>
  <c r="I277" i="1"/>
  <c r="AO277" i="1" s="1"/>
  <c r="AP277" i="1" s="1"/>
  <c r="I278" i="1"/>
  <c r="AO278" i="1" s="1"/>
  <c r="AP278" i="1" s="1"/>
  <c r="I280" i="1"/>
  <c r="AO280" i="1" s="1"/>
  <c r="AP280" i="1" s="1"/>
  <c r="AO26" i="1"/>
  <c r="AP26" i="1" s="1"/>
  <c r="I281" i="1"/>
  <c r="AO281" i="1" s="1"/>
  <c r="AP281" i="1" s="1"/>
  <c r="I282" i="1"/>
  <c r="AO282" i="1" s="1"/>
  <c r="AP282" i="1" s="1"/>
  <c r="K262" i="1"/>
  <c r="K263" i="1"/>
  <c r="K264" i="1"/>
  <c r="K265" i="1"/>
  <c r="K266" i="1"/>
  <c r="K267" i="1"/>
  <c r="K268" i="1"/>
  <c r="K269" i="1"/>
  <c r="K270" i="1"/>
  <c r="K271" i="1"/>
  <c r="K272" i="1"/>
  <c r="K273" i="1"/>
  <c r="K274" i="1"/>
  <c r="K275" i="1"/>
  <c r="K276" i="1"/>
  <c r="K277" i="1"/>
  <c r="K278" i="1"/>
  <c r="K279" i="1"/>
  <c r="K256" i="1"/>
  <c r="K257" i="1"/>
  <c r="K258" i="1"/>
  <c r="K253" i="1"/>
  <c r="K254" i="1"/>
  <c r="K255" i="1"/>
  <c r="K259" i="1"/>
  <c r="K260" i="1"/>
  <c r="K261"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80" i="1"/>
  <c r="K281" i="1"/>
  <c r="K282" i="1"/>
  <c r="K319" i="1"/>
  <c r="K320" i="1"/>
  <c r="K321" i="1"/>
  <c r="K322" i="1"/>
  <c r="K323" i="1"/>
  <c r="K324" i="1"/>
  <c r="K325" i="1"/>
  <c r="K326" i="1"/>
  <c r="K327" i="1"/>
  <c r="K4" i="1"/>
  <c r="I320" i="1"/>
  <c r="AO320" i="1" s="1"/>
  <c r="AP320" i="1" s="1"/>
  <c r="I321" i="1"/>
  <c r="AO321" i="1" s="1"/>
  <c r="AP321" i="1" s="1"/>
  <c r="I322" i="1"/>
  <c r="AO322" i="1" s="1"/>
  <c r="AP322" i="1" s="1"/>
  <c r="I323" i="1"/>
  <c r="AO323" i="1" s="1"/>
  <c r="AP323" i="1" s="1"/>
  <c r="I324" i="1"/>
  <c r="AO324" i="1" s="1"/>
  <c r="AP324" i="1" s="1"/>
  <c r="I325" i="1"/>
  <c r="AO325" i="1" s="1"/>
  <c r="AP325" i="1" s="1"/>
  <c r="I326" i="1"/>
  <c r="AO326" i="1" s="1"/>
  <c r="AP326" i="1" s="1"/>
  <c r="I327" i="1"/>
  <c r="AO327" i="1" s="1"/>
  <c r="AP327" i="1" s="1"/>
  <c r="I319" i="1"/>
  <c r="AO319" i="1" s="1"/>
  <c r="I50" i="1" l="1"/>
  <c r="AO50" i="1" s="1"/>
  <c r="AP50" i="1" s="1"/>
  <c r="K50" i="1"/>
</calcChain>
</file>

<file path=xl/sharedStrings.xml><?xml version="1.0" encoding="utf-8"?>
<sst xmlns="http://schemas.openxmlformats.org/spreadsheetml/2006/main" count="1369" uniqueCount="610">
  <si>
    <t>STT</t>
  </si>
  <si>
    <t>TÊN NGUYÊN VẬT LIỆU</t>
  </si>
  <si>
    <t>ĐVT</t>
  </si>
  <si>
    <t xml:space="preserve">SỐ LƯỢNG </t>
  </si>
  <si>
    <t>NGÀY HÓA ĐƠN</t>
  </si>
  <si>
    <t>SỐ HÓA ĐƠN</t>
  </si>
  <si>
    <t>QUY ĐỔI GRAM</t>
  </si>
  <si>
    <t>XK LSX 8</t>
  </si>
  <si>
    <t>NHÀ CUNG CẤP</t>
  </si>
  <si>
    <t>GHI CHÚ</t>
  </si>
  <si>
    <t>BẢNG THEO DÕI HÓA ĐƠN ĐVT NGUYÊN VẬT LIỆU SẢN XUẤT</t>
  </si>
  <si>
    <t>NHÀ MÁY LONG AN_2025</t>
  </si>
  <si>
    <t>TÊN KHÁC</t>
  </si>
  <si>
    <t>INCI NAME</t>
  </si>
  <si>
    <t>Diethylamino Hydroxybenzoyl Hexyl Benzoate</t>
  </si>
  <si>
    <t>Mfsorb® 512</t>
  </si>
  <si>
    <t>Hương Monoi Paradis</t>
  </si>
  <si>
    <t>kg</t>
  </si>
  <si>
    <t>Cty Cố Phần Thương Mại Và Xuất Nhập Khẩu Phương Minh</t>
  </si>
  <si>
    <t>Cty TNHH Thương Mại Dịch Vụ Hóa Chất Mỹ Phẩm Mia</t>
  </si>
  <si>
    <t>Cty TNHH Khang Ngọc</t>
  </si>
  <si>
    <t>Methylene Bis-Benzotriazolyl Tetramethylbutylphenol, Aqua, Decyl Glucoside, Propylene Glycol, Xanthan Gum</t>
  </si>
  <si>
    <t>Cty TNHH TK Cosmetic</t>
  </si>
  <si>
    <t>Hộp giấy Noé - Anti-Aging UV Protection Sunscreen</t>
  </si>
  <si>
    <t>cái</t>
  </si>
  <si>
    <t>Cty Cổ Phần In Trường Tín</t>
  </si>
  <si>
    <t>Hộp giấy Noé - Moisturizing Facial Mask</t>
  </si>
  <si>
    <t>Hộp giấy Noé - Vitamin Brightening Cleansing Gel</t>
  </si>
  <si>
    <t>Cty TNHH Chemico Việt Nam</t>
  </si>
  <si>
    <t>Nhãn_Tem TV 3*6cm</t>
  </si>
  <si>
    <t>Nhãn_Tem TV 7*2.8cm</t>
  </si>
  <si>
    <t>Nhãn_Tem TV 3,6*4,5cm</t>
  </si>
  <si>
    <t>Nhãn_Tem TV 3*3,5cm</t>
  </si>
  <si>
    <t>Cty TNHH Song Tạo</t>
  </si>
  <si>
    <t>Hóa chất OTS-2 TIO2 CR50</t>
  </si>
  <si>
    <t>Hóa chất SUNOBEL PA</t>
  </si>
  <si>
    <t>Hóa chất Parsol Max 25kg 
Plastic DR</t>
  </si>
  <si>
    <t>Hóa chất Vegeles AHA LS9955</t>
  </si>
  <si>
    <t>ACB Fruit Mix (AHAs)</t>
  </si>
  <si>
    <t>Cty TNHH Sản xuất và Thương mại Nguyễn Bá</t>
  </si>
  <si>
    <t>Màng co</t>
  </si>
  <si>
    <t>Hóa chất L-Glutathione Reduced</t>
  </si>
  <si>
    <t>Hóa chất AC Care 1000</t>
  </si>
  <si>
    <t>Nelumbo Nucifera Leaf Extract, Camellia Sinensis Leaf Extract, Psidium Guajava Leaf Extract, Angelica Gigas Extract, Butylene Glycol</t>
  </si>
  <si>
    <t>AC Care 1000</t>
  </si>
  <si>
    <t>Hóa chất Bee Tox H</t>
  </si>
  <si>
    <t>Bee Venom, Butylene Glycol, Water</t>
  </si>
  <si>
    <t>Bee Tox H</t>
  </si>
  <si>
    <t>Cty TNHH Thương Mại Cẩm Hào</t>
  </si>
  <si>
    <t>Hóa chất HotFlux</t>
  </si>
  <si>
    <t>Vanillyl Butyl Ether</t>
  </si>
  <si>
    <t>Hydrogenated Polyisobutene</t>
  </si>
  <si>
    <t>Hóa chất Allantion USP</t>
  </si>
  <si>
    <t>Sallatoin</t>
  </si>
  <si>
    <t>Allantoin</t>
  </si>
  <si>
    <t>Hóa chất  trang trí Petals</t>
  </si>
  <si>
    <t>Hóa chất Neowax 165</t>
  </si>
  <si>
    <t>Glyceryl Stearate, PEG-100 Stearate</t>
  </si>
  <si>
    <t>Hóa chất D-Panthenol 98%</t>
  </si>
  <si>
    <t>Panthenol</t>
  </si>
  <si>
    <t>Vitamin B5</t>
  </si>
  <si>
    <t>Flowsta Aso (Amidon)</t>
  </si>
  <si>
    <t>Aluminum Starch Octenylsuccinate</t>
  </si>
  <si>
    <t>Hóa chất Flowsta Aso</t>
  </si>
  <si>
    <t>Hóa chất MIRASIL DM100 A2</t>
  </si>
  <si>
    <t>Hóa chất Cosmol 222</t>
  </si>
  <si>
    <t>Diisostearyl Malate</t>
  </si>
  <si>
    <t>Cty TNHH Iwase Cosfa Việt Nam</t>
  </si>
  <si>
    <t>Hóa chất Sophim MC 300</t>
  </si>
  <si>
    <t>Hóa chất Carbomer 940 EZ</t>
  </si>
  <si>
    <t>Carbomer</t>
  </si>
  <si>
    <t>Hóa chất Glycerine 99,7% USP</t>
  </si>
  <si>
    <t>Glycerin 99,7%</t>
  </si>
  <si>
    <t>Glycerin</t>
  </si>
  <si>
    <t>Hóa chất Resassol HR</t>
  </si>
  <si>
    <t>Parlean V (dùng trong son)</t>
  </si>
  <si>
    <t>Hóa chất PT1HM30R7C</t>
  </si>
  <si>
    <t>Màu</t>
  </si>
  <si>
    <t>Cty TNHH Đầu Tư Quốc Tế Tường Ngọc</t>
  </si>
  <si>
    <t>Hủ nhựa 50gr_OHELA</t>
  </si>
  <si>
    <t>hủ</t>
  </si>
  <si>
    <t>Cty TNHH Thương Mại Dịch vụ Xuất Nhập Khẩu Huỳnh Vũ</t>
  </si>
  <si>
    <t>tem</t>
  </si>
  <si>
    <t>Nhãn_Tem TV 2*2</t>
  </si>
  <si>
    <t>Nhãn_Tem TV 3*6</t>
  </si>
  <si>
    <t>Cty TNHH Nhựa Anna</t>
  </si>
  <si>
    <t>Hóa chất  Microcare PEHG</t>
  </si>
  <si>
    <t>Phenoxyethanol, Ethylhexylglycerin</t>
  </si>
  <si>
    <t>Cty TNHH Bao Bì Trung Quân</t>
  </si>
  <si>
    <t>Chai nhựa Acrylic 150ml</t>
  </si>
  <si>
    <t>Bộ</t>
  </si>
  <si>
    <t>Tuýp nhựa Acrylic 30gr</t>
  </si>
  <si>
    <t>Hóa chất Hyluronsan HA-LQH</t>
  </si>
  <si>
    <t>Sodium Hyaluronate</t>
  </si>
  <si>
    <t>Màng nhôm phức hợp phi 81.2</t>
  </si>
  <si>
    <t>Cty TNHH Sản xuất và Thương mại An Khang Hy</t>
  </si>
  <si>
    <t>Hydroxyethylcellulose</t>
  </si>
  <si>
    <t>Hóa chất Cellulose Ether (Mecellose)-HEC</t>
  </si>
  <si>
    <t>PEG- 40 Hydrogenated Castor Oil</t>
  </si>
  <si>
    <t>Hóa chất Parleam 4</t>
  </si>
  <si>
    <t>Titanium Dioxide, Aluminum Hydroxide, Triethoxycaprylylsilane</t>
  </si>
  <si>
    <t>THÀNH TIỀN</t>
  </si>
  <si>
    <t>ĐƠN GIÁ /1 KG</t>
  </si>
  <si>
    <t>đã nhận COA</t>
  </si>
  <si>
    <t>hỏi lại</t>
  </si>
  <si>
    <t>LOT NO</t>
  </si>
  <si>
    <t>AC5UK3003</t>
  </si>
  <si>
    <t>AC5SA1003</t>
  </si>
  <si>
    <t>CZ5I165-2703</t>
  </si>
  <si>
    <t>2505MCV051</t>
  </si>
  <si>
    <t>5-1-C</t>
  </si>
  <si>
    <t>AT114309</t>
  </si>
  <si>
    <t xml:space="preserve"> Parleam 4</t>
  </si>
  <si>
    <t>JB02411868</t>
  </si>
  <si>
    <t>GSH-241105M</t>
  </si>
  <si>
    <t>0924020107</t>
  </si>
  <si>
    <t>K-G4133</t>
  </si>
  <si>
    <t>0028235374</t>
  </si>
  <si>
    <t>BH5SM13B3</t>
  </si>
  <si>
    <t>PA2407019</t>
  </si>
  <si>
    <t>B2E04349</t>
  </si>
  <si>
    <t>LK25002</t>
  </si>
  <si>
    <t>NSX</t>
  </si>
  <si>
    <t>HSD</t>
  </si>
  <si>
    <t>25LOT01156</t>
  </si>
  <si>
    <t>02/20230</t>
  </si>
  <si>
    <t xml:space="preserve">PETALS Yellow 105 D01 </t>
  </si>
  <si>
    <t>S2024031004</t>
  </si>
  <si>
    <t>017115END3C5L</t>
  </si>
  <si>
    <t>2505WKWB15</t>
  </si>
  <si>
    <t>Chai thủy tinh kèm nắp BD003 (ĐH A.Khoa_Q11)</t>
  </si>
  <si>
    <t>bộ</t>
  </si>
  <si>
    <t>Cty TNHH Thương Mại và Sản Xuất Phúc Nguyên</t>
  </si>
  <si>
    <t>Thùng Carton 5L 54 x 40 x 20</t>
  </si>
  <si>
    <t>Cty TNHH Bao Bì Khôi Nguyên</t>
  </si>
  <si>
    <t>Hóa chất Pentavitin</t>
  </si>
  <si>
    <t>Cty TNHH Caldic Special Ties Việt Nam</t>
  </si>
  <si>
    <t>Hóa chất Niacinamide PC</t>
  </si>
  <si>
    <t>Hóa chất ALPAFLOR EDELWEISS CB</t>
  </si>
  <si>
    <t>Hóa chất cồn 96 độ</t>
  </si>
  <si>
    <t>lít</t>
  </si>
  <si>
    <t>Hộ kinh doanh cửa hàng hóa chất Tiên Tri</t>
  </si>
  <si>
    <t>Hương Fresh Orchid GP 1146</t>
  </si>
  <si>
    <t>Cty TNHH Sản xuất Thương Mại Xuất Nhập Khẩu Anh Khoa</t>
  </si>
  <si>
    <t>In chai thủy tinh Lala 30ml (ĐH A.Khoa_Q11)</t>
  </si>
  <si>
    <t>Cty TNHH sản xuất Thương Mại Sakura</t>
  </si>
  <si>
    <t>Hóa chất muối sấy tinh khiết NaCl</t>
  </si>
  <si>
    <t>Hóa chất Water clear Refiined Jojoba Oil</t>
  </si>
  <si>
    <t>Hóa chất DL-A-Tocopheryl Actate</t>
  </si>
  <si>
    <t>Hóa chất Vitamin E 98%</t>
  </si>
  <si>
    <t>Hóa chất Dầu cám gạo</t>
  </si>
  <si>
    <t>Cty TNHH Tinh Dầu Thiên Nhiên Y Lang</t>
  </si>
  <si>
    <t>Hóa chất Dầu Hạt Nho</t>
  </si>
  <si>
    <t>Hóa chất Dầu Oliu (Pomance Olive Oil)</t>
  </si>
  <si>
    <t>Hóa chất Dầu Hướng Dương</t>
  </si>
  <si>
    <t>Hóa chất Cyclopentasiloxane (Reshine D5)</t>
  </si>
  <si>
    <t>Hộp giấy Ohelah - Glow Lotion</t>
  </si>
  <si>
    <t>Hộp giấy Ohelah - Moisturizing Cream</t>
  </si>
  <si>
    <t>Hộp giấy Ohelah - Whitening Cream</t>
  </si>
  <si>
    <t>Hóa chất Methyl Salicylate</t>
  </si>
  <si>
    <t>Hóa chất Propylene Glycol</t>
  </si>
  <si>
    <t>Cty TNHH MTV Vật Liệu Smallfortune</t>
  </si>
  <si>
    <t>Hóa chất Triethanolamine (Tea)</t>
  </si>
  <si>
    <t>UQ50450019</t>
  </si>
  <si>
    <t>Vitamin B3</t>
  </si>
  <si>
    <t>Niacinamide</t>
  </si>
  <si>
    <t xml:space="preserve">Vanillyl Butyl Ether </t>
  </si>
  <si>
    <t>B2F04120</t>
  </si>
  <si>
    <t>KE - 1604/2025</t>
  </si>
  <si>
    <t>T04/2025</t>
  </si>
  <si>
    <t>T03/2027</t>
  </si>
  <si>
    <t>Chiết xuất hoa nhung tuyết</t>
  </si>
  <si>
    <t>Hóa chất D- Panthenol 98%</t>
  </si>
  <si>
    <t>Hóa chất Alpha-Arbutin</t>
  </si>
  <si>
    <t>Alpha-Arbutin</t>
  </si>
  <si>
    <t>Hóa chất Earth Marine Water GP</t>
  </si>
  <si>
    <t>Sea Water, Glycerin, Phenoxyethanol</t>
  </si>
  <si>
    <t>NƯỚC BIỂN SÂU</t>
  </si>
  <si>
    <t>Saccharide Isomerate, Aqua, Citric Acid, Sodium Citrate</t>
  </si>
  <si>
    <t>Cty TNHH Dermatech Việt Nam</t>
  </si>
  <si>
    <t xml:space="preserve">Glycerin </t>
  </si>
  <si>
    <t xml:space="preserve">Hộp giấy Ohelah - Melasma Cream </t>
  </si>
  <si>
    <t>Chai pet 200ml, vòi phung sương (ĐH A.Huy_Q11)</t>
  </si>
  <si>
    <t>chai</t>
  </si>
  <si>
    <t>Cty TNHH SX TM Bao Bì Thảo Nguyên</t>
  </si>
  <si>
    <t>Hóa chất Tinh dầu tràm trà</t>
  </si>
  <si>
    <t>Melaleuca Alternifolia Leaf Oil</t>
  </si>
  <si>
    <t>Tea Tree Oil</t>
  </si>
  <si>
    <t>Hóa chất Salicylic Acid</t>
  </si>
  <si>
    <t>Methyl Salicylate</t>
  </si>
  <si>
    <t>Propylene Glycol</t>
  </si>
  <si>
    <t>Salicylic Acid</t>
  </si>
  <si>
    <t>Hóa chất Akobiol HGL Centella</t>
  </si>
  <si>
    <t>Glycerin, Caprylic/Capric Triglyceride, Water, Centella Asiatica Extract, Hydrogenated Lecithin, Cholesterol</t>
  </si>
  <si>
    <t>Alcohol</t>
  </si>
  <si>
    <t>Sodium Chloride</t>
  </si>
  <si>
    <t>Oryza Sativa (Rice) Bran Oil</t>
  </si>
  <si>
    <t>Vitis Vinifera (Grape) Seed Oil</t>
  </si>
  <si>
    <t>Olea Europaea (Olive) Fruit Oil</t>
  </si>
  <si>
    <r>
      <t>Helianthus Annuus Seed Oil</t>
    </r>
    <r>
      <rPr>
        <sz val="8"/>
        <color rgb="FF0A0A0A"/>
        <rFont val="Arial"/>
        <family val="2"/>
      </rPr>
      <t>, </t>
    </r>
  </si>
  <si>
    <t>Sunflower Seed Oil</t>
  </si>
  <si>
    <t>Cyclopentasiloxane</t>
  </si>
  <si>
    <t>SF 1202</t>
  </si>
  <si>
    <t>XK ĐỒNG TÂM</t>
  </si>
  <si>
    <t>Hóa chất Dissolvine Na2</t>
  </si>
  <si>
    <t>Zencos VL</t>
  </si>
  <si>
    <t>Băng keo 48mm</t>
  </si>
  <si>
    <t>cuộn</t>
  </si>
  <si>
    <t>Cty TNHH Băng keo Đại Phú Trọng</t>
  </si>
  <si>
    <t>Hóa chất Zemea Propanediol</t>
  </si>
  <si>
    <t>Cty Hồng Huệ</t>
  </si>
  <si>
    <t>Hóa chất Lactic Acid</t>
  </si>
  <si>
    <t>Hóa chất Makimouse 7</t>
  </si>
  <si>
    <t>Hóa chất Xanthan Gum FNCS FG</t>
  </si>
  <si>
    <t>Hóa chất dầu hạt trà</t>
  </si>
  <si>
    <t>Cty TNHH Oking Việt Nam</t>
  </si>
  <si>
    <t>Hóa chất Dehymuls LE</t>
  </si>
  <si>
    <t>Hóa chất Hyaurosan HA-LQH (gia kỳ)</t>
  </si>
  <si>
    <t>Cty TNHH Thương Mại và Sản Xuất Hoàn Vũ</t>
  </si>
  <si>
    <t>Hóa chất Pearl Extract - Ngọc Trai</t>
  </si>
  <si>
    <t>Hóa chất Hibiscus EX - Bụp giấm</t>
  </si>
  <si>
    <t>XK GIA KỲ (màu cánh hồng khô)</t>
  </si>
  <si>
    <t>XK GIA KỲ (màu hồng lavender)</t>
  </si>
  <si>
    <t>Xk GIA KỲ (màu đỏ dưa hấu)</t>
  </si>
  <si>
    <t>XK GIA KỲ
(màu hồng sữa dâu)</t>
  </si>
  <si>
    <t>XK GIA KỲ (hoa anh đào)</t>
  </si>
  <si>
    <t>XK  GIA KỲ (màu hồng ổi)</t>
  </si>
  <si>
    <t>CÒN LẠI (gram)</t>
  </si>
  <si>
    <t>Hũ nhựa CT-120 (Hương Linh)</t>
  </si>
  <si>
    <t>hũ</t>
  </si>
  <si>
    <t>Hóa chất SF 1642</t>
  </si>
  <si>
    <t>Hóa chất PT1BM30R7C</t>
  </si>
  <si>
    <t>Hóa chất PT1BM70U</t>
  </si>
  <si>
    <t>Hóa chất PT1BM70R</t>
  </si>
  <si>
    <t>Hóa chất SS4230 Fluid-Pail</t>
  </si>
  <si>
    <t>Hóa chất Serasilk EL 63</t>
  </si>
  <si>
    <t>Hóa chất Makigel OL</t>
  </si>
  <si>
    <t>Hóa chất Silight 6MC</t>
  </si>
  <si>
    <t>Hóa chất Emulpharma PG 20</t>
  </si>
  <si>
    <t>Hóa chất Silsoft 1540</t>
  </si>
  <si>
    <t>XH HƯƠNG LINH</t>
  </si>
  <si>
    <t>XK TRAM  - Q1 - KEM BO DY</t>
  </si>
  <si>
    <t>XK TRAM  - Q1 - KCN</t>
  </si>
  <si>
    <t>XK ANH KHOA - Q11 - SERUM</t>
  </si>
  <si>
    <t>Hủ nhựa Acrylic 50gr_OHELA</t>
  </si>
  <si>
    <t>Hóa chất Azelaic Acid (nghiên cứu - Lab)</t>
  </si>
  <si>
    <t>C.THÚY - KHL
(SRM)</t>
  </si>
  <si>
    <t>CHỊ TÚY - KHL (MASK)</t>
  </si>
  <si>
    <t>CHỊ THÚY - KHL (KCN)</t>
  </si>
  <si>
    <t>NGỌC - Q9 (TONER)</t>
  </si>
  <si>
    <t>NGỌC - Q9 (KEM NÁM)</t>
  </si>
  <si>
    <t>NGỌC - Q9 (KEM TRẮNG DA)</t>
  </si>
  <si>
    <t>NGỌC - Q9 (KEM PHỤC HỒI)</t>
  </si>
  <si>
    <t>GIÁ TRỊ TỒN KHO</t>
  </si>
  <si>
    <t>Hóa chất Tinh dầu gừng</t>
  </si>
  <si>
    <t>CN Zencos VL</t>
  </si>
  <si>
    <t>Hóa chất Glydant 2000</t>
  </si>
  <si>
    <t>DMDM Hydantoin</t>
  </si>
  <si>
    <t>Disodium EDTA</t>
  </si>
  <si>
    <t>Hộp Ohelah - Melasma Cream</t>
  </si>
  <si>
    <t>hộp</t>
  </si>
  <si>
    <t>Hộp Ohelah - Glow Lotion</t>
  </si>
  <si>
    <t>Chai nhựa 150ml</t>
  </si>
  <si>
    <t>Bao bì giấy_ĐH C. Ngọc_Q9</t>
  </si>
  <si>
    <t>Chai Toner_ĐH C.Ngọc_Q9</t>
  </si>
  <si>
    <t>Tube 30ml</t>
  </si>
  <si>
    <t>Tube</t>
  </si>
  <si>
    <t>Vỏ tube nhựa</t>
  </si>
  <si>
    <t>Hóa chất SpecKare RRT (Retinol)</t>
  </si>
  <si>
    <t>Cty TNHH Hóa Mỹ Phẩm 3H Việt Nam</t>
  </si>
  <si>
    <t>Hộp giấy Lala</t>
  </si>
  <si>
    <t>Cty CP In Trường Tín</t>
  </si>
  <si>
    <t>Hộp giấy Sun Cream</t>
  </si>
  <si>
    <t>Hộp giấy Whitening Body Cream</t>
  </si>
  <si>
    <t xml:space="preserve">cái </t>
  </si>
  <si>
    <t>Cty TNHH MiFa</t>
  </si>
  <si>
    <t>Hóa chất Aloe Vera Inner Gel Decolorized 1 X</t>
  </si>
  <si>
    <t>Aloe Barbadensis Leaf Juice</t>
  </si>
  <si>
    <t>Aloe vera gel</t>
  </si>
  <si>
    <t>Hóa chất Cetiol SB 45</t>
  </si>
  <si>
    <t>Butyrospermum Parkii (Shea) Butter</t>
  </si>
  <si>
    <t>Sheabutter</t>
  </si>
  <si>
    <t>Hóa chất NexTrac LOTUS L LC</t>
  </si>
  <si>
    <t>Water, Nelumbo Nucifera Leaf Extract, Butylene Glycol</t>
  </si>
  <si>
    <t>Chiết xuất lá sen</t>
  </si>
  <si>
    <t>Hóa chất Corum 9111</t>
  </si>
  <si>
    <t>Hóa chất Troycare BD55</t>
  </si>
  <si>
    <t>DMDM</t>
  </si>
  <si>
    <t>Hóa chất Edenor C14-99MY</t>
  </si>
  <si>
    <t>Hóa chất Glycerin</t>
  </si>
  <si>
    <t>Hóa chất Vitamin PP (Niacinamide)</t>
  </si>
  <si>
    <t>Hóa chất D-Panthenol</t>
  </si>
  <si>
    <t>D-Panthenol</t>
  </si>
  <si>
    <t>Hóa chất Repoly 415</t>
  </si>
  <si>
    <t>Hóa chất Vitamin E (DL-A Tocopheryl)</t>
  </si>
  <si>
    <t>Hóa chất Hyaurosan HA-LQH</t>
  </si>
  <si>
    <t>Hóa chất Myritol 318 RC</t>
  </si>
  <si>
    <t>Caprylic/Capric Triglyceride</t>
  </si>
  <si>
    <t>TCG-M</t>
  </si>
  <si>
    <t>Cty TNHH MTV Hóa Mỹ Phẩm Hồng Huệ</t>
  </si>
  <si>
    <t>Hóa chất Glycolic Acid</t>
  </si>
  <si>
    <t>Glypure</t>
  </si>
  <si>
    <t>Glycolic Acid</t>
  </si>
  <si>
    <t xml:space="preserve"> Propanediol</t>
  </si>
  <si>
    <t>Hóa chất Cestopal 18/21M</t>
  </si>
  <si>
    <t>Steareth-21</t>
  </si>
  <si>
    <t xml:space="preserve">Hóa chất Bentone Luxe XO </t>
  </si>
  <si>
    <t>C13-15 Alkane, Disteardimonium Hectorite, Polyglyceryl-3 Polyricinoleate</t>
  </si>
  <si>
    <t>Hóa chất TCG-M</t>
  </si>
  <si>
    <t>Myritol 318 RC</t>
  </si>
  <si>
    <t>Hóa chất  SF1202</t>
  </si>
  <si>
    <t>PEG-40 Hydrogenated Castor Oil</t>
  </si>
  <si>
    <t>Hóa chất Sepimax Zen</t>
  </si>
  <si>
    <t>Polyacrylate Crosspolymer-6</t>
  </si>
  <si>
    <t>Hóa chất Emarol 20</t>
  </si>
  <si>
    <t>Polysorbate -20</t>
  </si>
  <si>
    <t>Hóa chất Cetyl Stearyl Alcohol</t>
  </si>
  <si>
    <t>CETYL STEARYL ALCOHOL</t>
  </si>
  <si>
    <t>Hóa chất Multicare AM 50KC-S</t>
  </si>
  <si>
    <t>Hóa chất Palm Kernel Diethanolamide (PKDE 90)</t>
  </si>
  <si>
    <t>Palm Kernelamide DEA</t>
  </si>
  <si>
    <t>Hóa chất IPM (Palmsurf IPM 98)</t>
  </si>
  <si>
    <t>Isopropyl Myristate</t>
  </si>
  <si>
    <t>Hóa chất Sinopol 25</t>
  </si>
  <si>
    <t>Tween 20</t>
  </si>
  <si>
    <t>Hóa chất Texapon N70T</t>
  </si>
  <si>
    <t>Sodium Laureth Sulfate</t>
  </si>
  <si>
    <t>Sodium Laureth Ether Sulfate</t>
  </si>
  <si>
    <t>Hóa chất Cetyl Alcohol</t>
  </si>
  <si>
    <t>THAIOL 1698</t>
  </si>
  <si>
    <t>THAIOL 1618</t>
  </si>
  <si>
    <t xml:space="preserve"> Cetyl Alcohol</t>
  </si>
  <si>
    <t>Hóa chất Tegosoft TN</t>
  </si>
  <si>
    <t>C12-15 Alkyl Benzoate</t>
  </si>
  <si>
    <t>Hóa chất Nicotinamide BP (Vitamin PP)</t>
  </si>
  <si>
    <t>Hóa chất  SodiumMethyl Cocoyl Taurate (Remild CT35)</t>
  </si>
  <si>
    <t>Diapon K-SF</t>
  </si>
  <si>
    <t>Sodium Methyl Cocoyl Taurate</t>
  </si>
  <si>
    <t>Alpha Arbutin</t>
  </si>
  <si>
    <t>Hóa chất Amud MG 60-04 K</t>
  </si>
  <si>
    <t>GMS 60</t>
  </si>
  <si>
    <t>Glyceryl Stearate</t>
  </si>
  <si>
    <t>Hóa chất Edernor C14-99 MY BD (Axit Myrictic)</t>
  </si>
  <si>
    <t>Hóa chất Polyethylene Glycol 400</t>
  </si>
  <si>
    <t>PG 400</t>
  </si>
  <si>
    <t xml:space="preserve"> Polyethylene Glycol </t>
  </si>
  <si>
    <t>Hóa chất Riceker GNBN</t>
  </si>
  <si>
    <t>Water, Glycerin, Oryza Sativa (Rice) Extract, Sodium Benzoate, Potassium Sorbate</t>
  </si>
  <si>
    <t>Oryza Sativa (Rice) Extract (CHIẾT XUẤT GẠO)</t>
  </si>
  <si>
    <t>Cty Cố Phần Quốc Tế Organic</t>
  </si>
  <si>
    <t>Hóa chất Akobiol HGL Witch Hazel</t>
  </si>
  <si>
    <t>Glycerin, Aqua, Hamamelis Virginiana (Witch Hazel) Leaf Extract, Sodium Benzoate, Potassium Sorbate</t>
  </si>
  <si>
    <t>Extrapone Witch Hazel  (CHIẾT XUẤT PHỈ)</t>
  </si>
  <si>
    <t>Hóa chất S-Ben W</t>
  </si>
  <si>
    <t>Quaternium-18 Bentonite</t>
  </si>
  <si>
    <t>Zingiber Officinale (Ginger) Root Oil</t>
  </si>
  <si>
    <t>Polyglyceryl-2 Diisostearate</t>
  </si>
  <si>
    <t>Silica</t>
  </si>
  <si>
    <t>Silica Dimethyl Silylate</t>
  </si>
  <si>
    <t>Cyclopentasiloxane (and) Dimethicone /Vinyl Dimethicone Crosspolymer</t>
  </si>
  <si>
    <t>Cyclopentasiloxane (and) Trimethylsiloxysilicate</t>
  </si>
  <si>
    <t>Hóa chất bí ngô</t>
  </si>
  <si>
    <t>Water , Propanediol, Cucurbita Pepo (Pumpkin) Fruit Extract</t>
  </si>
  <si>
    <t>Pumpkin Seed Extract (CHIẾT XUẤT BÍ NGÔ)</t>
  </si>
  <si>
    <t>Cty Cố Phần 3C Pharma</t>
  </si>
  <si>
    <t>Glycerin, Aqua, Leontopodium Alpinum Flower/Leaf Extract, Citric Acid</t>
  </si>
  <si>
    <t>Hóa chất WP-APT3 500H</t>
  </si>
  <si>
    <t>Tetrapeptide-30, Glycerin, Aqua</t>
  </si>
  <si>
    <t>Hóa chất SpecWhite TA - Tranexamic Acid</t>
  </si>
  <si>
    <t>Tranexamic Acid</t>
  </si>
  <si>
    <t>Hóa chất Saffron Ex-Nhụy hoa nghệ tây</t>
  </si>
  <si>
    <t>Aqua; Propanediol, Crocus Sativus Flower Extract</t>
  </si>
  <si>
    <t>Sens' Flower</t>
  </si>
  <si>
    <t>Hóa chất Licorrice Ex - Cam Thảo</t>
  </si>
  <si>
    <t>Glycerin, Aqua, Glycyrrhiza Glabra Root Extract, Caprylhydroxamic Acid, Glyceryl Caprylate</t>
  </si>
  <si>
    <t>CX CAM THẢO</t>
  </si>
  <si>
    <t>Hóa chất cotton hug - Hạt Bông Vải</t>
  </si>
  <si>
    <t>CX COTTON</t>
  </si>
  <si>
    <t>Glycerin, Gossypium Herbaceum (Cotton) Seed Extract, Citric Acid</t>
  </si>
  <si>
    <t>Hóa chất Muguet Flower Ex - Linh lan</t>
  </si>
  <si>
    <t>Prunus Persica (Peach) Flower Extract, Robinia Pseudoacacia Flower Extract, Prunus Serrulata Flower Extract, Prunus Mume Flower Extract, Magnolia Kobus Flower Extract, Lilium Tigrinum Flower/Leaf/Stem Extract, Thymus Vulgaris (Thyme) Flower/Leaf Extract, Butylene Glycol, 1,2-Hexanediol</t>
  </si>
  <si>
    <t>CX 7 loài hoa</t>
  </si>
  <si>
    <t>Water, Glycerin, Hydrolyzed Pearl, Sea Salt</t>
  </si>
  <si>
    <t>Pearl Extract</t>
  </si>
  <si>
    <t>Hóa chất Collagen peptide 300</t>
  </si>
  <si>
    <t>Water; Hydrolyzed Collagen; Butylene Glycol; Glycerin; 1,2-Hexanediol</t>
  </si>
  <si>
    <t>Collagen Peptide 300</t>
  </si>
  <si>
    <t>Hóa chất Hydroxyethyl Cellulose - HEC 5000C</t>
  </si>
  <si>
    <t>Sodium Polyacrylate Starch</t>
  </si>
  <si>
    <t>Hóa chất Ceramide LC S-20</t>
  </si>
  <si>
    <t>Ceramide</t>
  </si>
  <si>
    <t>Cty TNHH Fresh Ingredients</t>
  </si>
  <si>
    <t>Hóa chất Kojic Acid</t>
  </si>
  <si>
    <t>Hóa chất Octyl Methoxcinnamate</t>
  </si>
  <si>
    <t>Ethylhexyl Methoxycinnamate</t>
  </si>
  <si>
    <t>OMC</t>
  </si>
  <si>
    <t>Cty TNHH Sản xuất &amp; Thương Mại Nguyễn Bá</t>
  </si>
  <si>
    <t>Hóa chất màu Neelicol Red Iron Oxide</t>
  </si>
  <si>
    <t>Hóa chất Octocrylene</t>
  </si>
  <si>
    <t>Hóa chất Nguyên liệu trang trí Pearlets</t>
  </si>
  <si>
    <t>Cty TNHH SX &amp; TM Sakura</t>
  </si>
  <si>
    <t>Hóa chất STV -455</t>
  </si>
  <si>
    <t>CI 77491</t>
  </si>
  <si>
    <t>MÀU ĐỎ</t>
  </si>
  <si>
    <t>Octocrylene</t>
  </si>
  <si>
    <t>Sunobel OCT</t>
  </si>
  <si>
    <t>Lactose, Microcrystalline Cellulose, Sucrose, Zea May (Corn) Starch, Hydroxypropyl Methyl Cellulose,  CI77492</t>
  </si>
  <si>
    <t>Hạt Pearlets (Hạt vàng)</t>
  </si>
  <si>
    <t>Titanium Dioxide, Aluminum Hydroxide, Stearic Acid</t>
  </si>
  <si>
    <t>Cyclopentasiloxane, PEG/PPG-20/15 Dimethicone</t>
  </si>
  <si>
    <t>Monoi Paradis</t>
  </si>
  <si>
    <t xml:space="preserve">Glutathione </t>
  </si>
  <si>
    <t>Water, Vaccinium Myrtillus Fruit/Leaf Extract, Saccharum Officinarum (Sugar Cane) Extract, Citrus Aurantium Dulcis (Orange) Fruit Extract, Citrus Limon (Lemon) Fruit Extract, Acer Saccharum (Sugar Maple) Extract</t>
  </si>
  <si>
    <t>Aqua, Butylene Glycol, Iron Oxide Yellow (CI 77492), Titanium Dioxide (CI 77891), Calcium Alginate, Gellan Gum, Agar, Phenoxyethanol, Propylene Glycol, 1,2-Hexanediol</t>
  </si>
  <si>
    <t>Red 7 Lake (CI 15850), Phenyl Trimethicone, Disteardimonium Hectorite, Isopropyl Titanium Triisostearate, 1,2-Hexanediol, Caprylyl Glycol, Silica</t>
  </si>
  <si>
    <t xml:space="preserve"> Fresh Orchid</t>
  </si>
  <si>
    <t>Tocopheryl Actate</t>
  </si>
  <si>
    <t>Propanediol</t>
  </si>
  <si>
    <t>Lactic Acid</t>
  </si>
  <si>
    <t>Xanthan Gum</t>
  </si>
  <si>
    <t>Camellia Japonica Seed Oil</t>
  </si>
  <si>
    <t xml:space="preserve">PEG-30 Dipolyhydroxystearate </t>
  </si>
  <si>
    <t>Water, Butylene Glycol, 1,2-Hexanediol, Ethyl Hexanediol, Pearl Extract</t>
  </si>
  <si>
    <t>Water, Hibiscus Sabdariffa Flower Extract,  Butylene Glycol, Glycerin,  1,2-Hexanediol</t>
  </si>
  <si>
    <t>Hóa chất Synthetic Beeswax</t>
  </si>
  <si>
    <t>Beeswax</t>
  </si>
  <si>
    <t>C30-45 Alkyl Dimethicone</t>
  </si>
  <si>
    <t>Titanium Dioxide (CI 77891), Phenyl Trimethicone, Isopropyl Titanium Triisostearate, Disteardimonium Hectorite, 1,2-Hexanediol, Caprylyl Glycol, Silica</t>
  </si>
  <si>
    <t>Iron Oxides (CI 77491) Phenyl Trimethicone, Disteardimonium Hectorite, Isopropyl Titanium Triisostearate,  1,2-Hexanediol, Caprylyl Glycol, Silica</t>
  </si>
  <si>
    <t>Kojic Acid</t>
  </si>
  <si>
    <t xml:space="preserve">Simmondsia Chinensis (Jojoba) Seed Oil </t>
  </si>
  <si>
    <t>Triethanolamine</t>
  </si>
  <si>
    <t>Retinol</t>
  </si>
  <si>
    <t>Hóa chất Acid Citric</t>
  </si>
  <si>
    <t>SA/NAI-TR-10/D5 (80%) MIBRID</t>
  </si>
  <si>
    <t>31/12/2025</t>
  </si>
  <si>
    <t>Cty TNHH Phú Giai Hân BD</t>
  </si>
  <si>
    <t>Hủ nhựa 200gr</t>
  </si>
  <si>
    <t>Nhãn_Tem tròn Size 2*2</t>
  </si>
  <si>
    <t>TỔNG CỘNG</t>
  </si>
  <si>
    <t>Nhãn (Chị Thúy_Tẩy trang)</t>
  </si>
  <si>
    <t>Tuýp nhựa 50ml (Thanh Hà_KCN)</t>
  </si>
  <si>
    <t>BB tube 50gr (Chị Trâm_2400 + Thanh Hà_1600)</t>
  </si>
  <si>
    <t>In hũ nhựa KT-20 (Thanh Hà_Kem face)</t>
  </si>
  <si>
    <t>In hũ tube nhựa 50 (Thành Hà_KCN)</t>
  </si>
  <si>
    <t>In hũ nhựa  (Thanh Hà_Kem body)</t>
  </si>
  <si>
    <t>Hũ nhựa rỗng (Thanh Hà_Kem body_4850)</t>
  </si>
  <si>
    <t xml:space="preserve">Dimethicone </t>
  </si>
  <si>
    <t>Hóa chất Ricobio JA7 (hỗn hợp các chiết xuất)</t>
  </si>
  <si>
    <t>Hóa chất T.I.O</t>
  </si>
  <si>
    <t>Triethylhexanoin</t>
  </si>
  <si>
    <t>Camellia Sinensis Leaf Extract, Capryloyl Salicylic Acid, Sodium Tocopheryl Phosphate, Sophora Angustifolia Root Extract, Bambusa Vulgaris Extract, Citrus Paradisi (Grapefruit) Fruit Extract, Eucalyptus Globulus Leaf Extract, Punica Granatum Fruit Extract, Eugenia Caryophyllus (Clove) Flower Extract, Capryloyl Glycin, Pyridoxine, Water, Butylene Glycol, 1,2-Hexanediol</t>
  </si>
  <si>
    <t>Citric Acid</t>
  </si>
  <si>
    <t>Hóa chất Xanthan Gum FNCS</t>
  </si>
  <si>
    <t>Dimethicone, Titanium Dioxide, Aluminum Hydroxide, Cyclopentasiloxane, Disodium Stearoyl Glutamate</t>
  </si>
  <si>
    <t>Cty TNHH Nhựa Polyco</t>
  </si>
  <si>
    <t>Tuýp nhựa rỗng 50ml (Chị Trâm_Q1)</t>
  </si>
  <si>
    <t>XK DÌ HẰNG - VL - KEM MỤN</t>
  </si>
  <si>
    <t>Vỏ son nhựa Acrylic 6ml</t>
  </si>
  <si>
    <t>Vỏ son nhựa Acrylic 5ml</t>
  </si>
  <si>
    <t>Hóa chất Camomile Extract - Cúc La Mã</t>
  </si>
  <si>
    <t>Hóa chất Hyaluronic Acid 1%</t>
  </si>
  <si>
    <t>Dây đai nhựa</t>
  </si>
  <si>
    <t>Cty TNHH Sản Xuất Thương Mại Nhựa Tân Khoa</t>
  </si>
  <si>
    <t>Chiết xuất bí ngô</t>
  </si>
  <si>
    <t>Hóa chất Syn-Coll</t>
  </si>
  <si>
    <t>Hộp giấy Noé</t>
  </si>
  <si>
    <t>Chai thủy tinh có nắp dung tích 50ml, loại VQT005</t>
  </si>
  <si>
    <t>Chai thủy tinh không nắp dung tích 100ml, loại BNB086</t>
  </si>
  <si>
    <t>Nắp chai NH01</t>
  </si>
  <si>
    <t>Hóa chất SHIELD BISO OMC</t>
  </si>
  <si>
    <t>Hóa chất Thaiol 1618</t>
  </si>
  <si>
    <t>Hóa chất Blanova Active Allantoin EP</t>
  </si>
  <si>
    <t>Hóa chất Miconium C TAC 29</t>
  </si>
  <si>
    <t>Hóa chất Titan ALT-TSR-10</t>
  </si>
  <si>
    <t xml:space="preserve">Hóa chất White Oil Light </t>
  </si>
  <si>
    <t>Hóa chất hương liệu Blooming Rose</t>
  </si>
  <si>
    <t>Water, Sodium Hyaluronate, Butylene Glycol, Phenoxyethanol</t>
  </si>
  <si>
    <t>Palmitoyl Tripeptide-5, Glycerin, Aqua</t>
  </si>
  <si>
    <t>Glycerin, Aqua, Chamomilla Recutita (Matricaria) Flower Extract, Potassium Sorbate</t>
  </si>
  <si>
    <t>Cetearyl Alcohol</t>
  </si>
  <si>
    <t>Cetrimonium Chloride</t>
  </si>
  <si>
    <t>Paraffinum Liquidum</t>
  </si>
  <si>
    <t>Blooming Rose</t>
  </si>
  <si>
    <t>CHỊ THÚY - KHL (TẨY TRANG)</t>
  </si>
  <si>
    <t>ANH HUY - Q11 (DẦU DƯỠNG 50ML)</t>
  </si>
  <si>
    <t>ANH HUY - Q11 (DẦU DƯỠNG 100ML)</t>
  </si>
  <si>
    <t>Hóa chất BIOBLANCA-1,3-PDO</t>
  </si>
  <si>
    <t>Hóa chất Beeswax White (Sáp ong)</t>
  </si>
  <si>
    <t>Hóa chất PEG-100 Stearate &amp; Glyceryl monostearate, Resense 165A</t>
  </si>
  <si>
    <t>Hóa chất PEG-40 Hydrogenated Castor Oil</t>
  </si>
  <si>
    <t>Hóa chất WHITE PETROLEUM JELLY (VA-ZƠ-LIN)</t>
  </si>
  <si>
    <t>Hóa chất Chiết xuất Nha Đam - Jeju Aloe Vera Water</t>
  </si>
  <si>
    <t>Hoá chất Phụ gia - PALMESTER 3580</t>
  </si>
  <si>
    <t>Hóa chất C12-15 Alkyl Benzoate (Regrease AB)</t>
  </si>
  <si>
    <t>Hóa chất DIMETHICONE 100 (Reshine 100)</t>
  </si>
  <si>
    <t>Hóa chất SI01-2 TiO2 CR-50</t>
  </si>
  <si>
    <t>Hóa chất Polyme tạo đặc- MULTICARE HA 40KC</t>
  </si>
  <si>
    <t>Hóa chất tinh dầu hoa cam</t>
  </si>
  <si>
    <t>Hóa chất tinh dầu gỗ đàn hương 4144</t>
  </si>
  <si>
    <t xml:space="preserve">Citrus Aurantium Flower Oil </t>
  </si>
  <si>
    <t>Santalum Album Wood Oil</t>
  </si>
  <si>
    <t>Nắp chai bằng nhựa (nắp bật)</t>
  </si>
  <si>
    <t>PEG-40 Hydrogenated Castor oil</t>
  </si>
  <si>
    <t>Vaselin</t>
  </si>
  <si>
    <t>Dimethicone</t>
  </si>
  <si>
    <t>Hydroxyethyl Acrylate/Sodium Acryloyldimethyl Taurate Copolymer, Hydrogenated Polydecene, Polysorbate 80</t>
  </si>
  <si>
    <t xml:space="preserve">Titanium Dioxide, Cyclopentasiloxane, Dimethicone, Disodium Stearoyl Glutamate, Aluminum Hydroxide </t>
  </si>
  <si>
    <t>Dầu Argan</t>
  </si>
  <si>
    <t>Argania Spinosa Kernel Oil</t>
  </si>
  <si>
    <t>Chai nhựa Acrylic 100ml</t>
  </si>
  <si>
    <t>Hóa chất Resplanta Babassu MB</t>
  </si>
  <si>
    <t>Hóa chất Lavanya Flamingo</t>
  </si>
  <si>
    <t>Hóa chất Neelilake Tartrazine Lake</t>
  </si>
  <si>
    <t>Hóa chất Neelicol Black Iron Oxide</t>
  </si>
  <si>
    <t>Hóa chất BIOTIN</t>
  </si>
  <si>
    <t>Hóa chất Uvirol OMC29</t>
  </si>
  <si>
    <t>Hóa chất D-PANTHENOL USP</t>
  </si>
  <si>
    <t>Hóa chất L -Glutathione Reduced</t>
  </si>
  <si>
    <t>Hóa chất Tranexamide Acid</t>
  </si>
  <si>
    <t>Hóa chất TC-CARBOMER 340</t>
  </si>
  <si>
    <t>Hóa chất PHYCOSACCHARIDE AIP</t>
  </si>
  <si>
    <t>Cty Cổ Phần Mỹ Phẩm Dermatrix</t>
  </si>
  <si>
    <t>Hóa chất Reaqua Zinc PCA</t>
  </si>
  <si>
    <t>Propanediol, Glycerin, Water, Lactic Acid, Glycolic Acid, Sucrose, Urea, Sodium Citrate, Malic Acid, Tartaric Acid</t>
  </si>
  <si>
    <t>Zinc PCA</t>
  </si>
  <si>
    <t>Babassu Oil Glycereth-8 Esters, Water</t>
  </si>
  <si>
    <t>CI 15850</t>
  </si>
  <si>
    <t>CI 19140</t>
  </si>
  <si>
    <t>CI 77499</t>
  </si>
  <si>
    <t>Vỏ son bằng nhựa, dung tích 4gr</t>
  </si>
  <si>
    <t>Hóa chất Hydrolyzed Keratin (Keratin thủy phân)</t>
  </si>
  <si>
    <t>Hóa chất EDTA 4Na</t>
  </si>
  <si>
    <t>Hóa chất Alpha-Arbutin (TQ)</t>
  </si>
  <si>
    <t>Hóa chất BHT (Dibuty Ihydroxytoluene)</t>
  </si>
  <si>
    <t>Hóa chất Edelweiss W - hoa Tuyết Nhung</t>
  </si>
  <si>
    <t>Hóa chất Starfish Collagen-collagen thủy phân</t>
  </si>
  <si>
    <t>Hydrolyzed Keratin</t>
  </si>
  <si>
    <t>Tranexamide Acid</t>
  </si>
  <si>
    <t>Biotin</t>
  </si>
  <si>
    <t>Water, Hydrolyzed Algin, Phenoxyethanol</t>
  </si>
  <si>
    <t>Tetrasodium EDTA</t>
  </si>
  <si>
    <t xml:space="preserve">BHT </t>
  </si>
  <si>
    <t>Hydrolyzed Collagen</t>
  </si>
  <si>
    <t>Hóa chất Synthetic Candelilla Wax R-4 RSPO</t>
  </si>
  <si>
    <t>Hóa chất Magnesium Stearate</t>
  </si>
  <si>
    <t>Hóa chất Luvitol Lite EM</t>
  </si>
  <si>
    <t>Parlem 4</t>
  </si>
  <si>
    <t>In nhãn (Mụn - Dì Hằng)</t>
  </si>
  <si>
    <t>In nhãn (Kem face - Vita)</t>
  </si>
  <si>
    <t>In nhãn (Serum - Vita)</t>
  </si>
  <si>
    <t>In nhãn (Mask - Vita)</t>
  </si>
  <si>
    <t>Mặt nạ</t>
  </si>
  <si>
    <t>Hóa chất Jeju Sea water - Nước khoáng</t>
  </si>
  <si>
    <t>VITA (MASK)</t>
  </si>
  <si>
    <t>ANH HUY - Q11 (SEA SALT)</t>
  </si>
  <si>
    <t>Euphorbia Cerifera (Candelilla) Wax</t>
  </si>
  <si>
    <t>Magnesium Stearate</t>
  </si>
  <si>
    <t>chiếc</t>
  </si>
  <si>
    <t>In nhãn (Tem HCN KT 4 X 1.2 cm)</t>
  </si>
  <si>
    <t>Mica, CI 77891, CI 77491, Tin Oxide</t>
  </si>
  <si>
    <t>Hóa chất Cosman CR530 (CTY DVB)</t>
  </si>
  <si>
    <t>Hộp mặt nạ Vitality</t>
  </si>
  <si>
    <t>Cty TNHH Kỹ Thuật In Minh Hiển</t>
  </si>
  <si>
    <t>Hóa chất Chất tạo màng phim dạng lỏng KF-7312J (1KG/Lon)</t>
  </si>
  <si>
    <t>Cty TNHH Fuji Kasei Việt Nam</t>
  </si>
  <si>
    <t>VITA (KEM FACE 300ML)</t>
  </si>
  <si>
    <t>VITA (KEM FACE 50ML)</t>
  </si>
  <si>
    <t>VITA (SERUM 300ML)</t>
  </si>
  <si>
    <t>VITA (SERUM 100ML)</t>
  </si>
  <si>
    <t>Hóa chất Phẩm màu đỏ Idacol Ponceau 4R V103:1- 120</t>
  </si>
  <si>
    <t>Hóa chất Hyaluronsan HA-LQH</t>
  </si>
  <si>
    <t>Hóa chất Hương liệu ETERNAL FRAGRANCE AG04941</t>
  </si>
  <si>
    <t>Hóa chất ISCAGUARD PEHG</t>
  </si>
  <si>
    <t>Hóa chất SINOPOL H1540-1</t>
  </si>
  <si>
    <t>Hóa chất Serashine EM301A</t>
  </si>
  <si>
    <t>Hóa chất SODIUM LAURYL ETHER SULFATE (SLES)</t>
  </si>
  <si>
    <t>Hóa chất GLYXERIN TINH KHIẾT 99,7%</t>
  </si>
  <si>
    <t>Hóa chất SODIUM LACTATE - PURASAL S</t>
  </si>
  <si>
    <t>Hóa chất KIYU KY - Pearlizer II</t>
  </si>
  <si>
    <t>Hóa chất Vitamin E Acetate 98%</t>
  </si>
  <si>
    <t>Hóa chất D-PANTHENOL</t>
  </si>
  <si>
    <t>Hóa chất Tinh Dầu Bưởi</t>
  </si>
  <si>
    <t>Hóa chất Petals Pink</t>
  </si>
  <si>
    <t>Hóa chất CS Ginger Ex- Chiết xuất Gừng</t>
  </si>
  <si>
    <t>Hóa chất Allantion</t>
  </si>
  <si>
    <t>Hóa chất Cerafumei Synthetic Beewax 3001</t>
  </si>
  <si>
    <t>Hóa chất Guar Hydroxypropyltrimonium Chloride, Resoft 14S</t>
  </si>
  <si>
    <t>Hóa chất Stearic Acid 38% (Wilfarin SA-1838)</t>
  </si>
  <si>
    <t>Hóa chất Titanium Dioxide - TiO2 KA100</t>
  </si>
  <si>
    <t>Hóa chất Kojic Acid Dipalmitate</t>
  </si>
  <si>
    <t>Hóa chất Polymer dạng lỏng (REPOLY 415)</t>
  </si>
  <si>
    <t>Hóa chất hoạt động bề mặt CAB35 - Cocamidopropyl Betaine</t>
  </si>
  <si>
    <t>Hóa chất Climco Cdea (COCAMIDE DEA)</t>
  </si>
  <si>
    <t>Hóa chất Microcare PE</t>
  </si>
  <si>
    <t>Hóa chất FLUID D150S</t>
  </si>
  <si>
    <t>Sodium Polyacrylate, C13-C14 Isoparaffin, Laureth 7</t>
  </si>
  <si>
    <t>Phenoxyethanol</t>
  </si>
  <si>
    <t>Cocamide DEA</t>
  </si>
  <si>
    <t>Guar Hydroxypropyltrimoleum Chloride</t>
  </si>
  <si>
    <t>Water, Butylene Glycol, Gylcerin, Zingiber Officinale (Ginger) Root Extract, 1,2-Hexanediol, Ethyl Hexanediol</t>
  </si>
  <si>
    <t>Aqua, Butylene Glycol, CI 73360, Titanium Dioxide (CI 77891), Calcium Alginate, Gellan Gum, Agar, Caprylyl Glycol, 1,2-Hexanediol</t>
  </si>
  <si>
    <t>Citrus Grandis Peel Oil</t>
  </si>
  <si>
    <t>Glycol Distearate, Cocamide DEA, Cocamidopropyl Betaine</t>
  </si>
  <si>
    <t>Sodium Lactate</t>
  </si>
  <si>
    <t>Amodimethicone, Trideceth-12, Cetrimonium Chloride</t>
  </si>
  <si>
    <t>PEG-40 Hydrogenated Castor Oil.</t>
  </si>
  <si>
    <t>ETERNAL FRAGRANCE</t>
  </si>
  <si>
    <t>CI 16255</t>
  </si>
  <si>
    <t>Cyclopentasiloxane, Trimethylsiloxysilicate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</si>
</sst>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_-* #,##0\ _₫_-;\-* #,##0\ _₫_-;_-* &quot;-&quot;??\ _₫_-;_-@_-"/>
    <numFmt numFmtId="166" formatCode="_(* #,##0_);_(* \(#,##0\);_(* &quot;-&quot;??_);_(@_)"/>
    <numFmt numFmtId="167" formatCode="_(* #,##0.0_);_(* \(#,##0.0\);_(* &quot;-&quot;??_);_(@_)"/>
    <numFmt numFmtId="168" formatCode="_-* #,##0_-;\-* #,##0_-;_-* &quot;-&quot;??_-;_-@_-"/>
  </numFmts>
  <fonts count="33" x14ac:knownFonts="1">
    <font>
      <sz val="11"/>
      <color theme="1"/>
      <name val="Aptos Narrow"/>
      <family val="2"/>
      <scheme val="minor"/>
    </font>
    <font>
      <sz val="11"/>
      <color theme="1"/>
      <name val="Aptos Narrow"/>
      <family val="2"/>
      <scheme val="minor"/>
    </font>
    <font>
      <b/>
      <sz val="10"/>
      <color theme="0"/>
      <name val="Cambria"/>
      <family val="1"/>
    </font>
    <font>
      <sz val="10"/>
      <color theme="1"/>
      <name val="Cambria"/>
      <family val="1"/>
    </font>
    <font>
      <sz val="11"/>
      <color theme="1"/>
      <name val="Cambria"/>
      <family val="1"/>
    </font>
    <font>
      <b/>
      <sz val="11"/>
      <color theme="4" tint="-0.499984740745262"/>
      <name val="Cambria"/>
      <family val="1"/>
    </font>
    <font>
      <sz val="11"/>
      <color rgb="FF000000"/>
      <name val="Cambria"/>
      <family val="1"/>
    </font>
    <font>
      <sz val="12"/>
      <color theme="1"/>
      <name val="Cambria"/>
      <family val="1"/>
    </font>
    <font>
      <sz val="11"/>
      <color rgb="FFFF0000"/>
      <name val="Cambria"/>
      <family val="1"/>
    </font>
    <font>
      <sz val="11"/>
      <name val="Times New Roman"/>
      <family val="1"/>
    </font>
    <font>
      <sz val="11"/>
      <color rgb="FFFF0000"/>
      <name val="Aptos Narrow"/>
      <family val="2"/>
      <scheme val="minor"/>
    </font>
    <font>
      <sz val="12"/>
      <color theme="1"/>
      <name val="Times New Roman"/>
      <family val="1"/>
    </font>
    <font>
      <sz val="12"/>
      <color rgb="FF000000"/>
      <name val="Times New Roman"/>
      <family val="1"/>
    </font>
    <font>
      <sz val="8"/>
      <color rgb="FF0A0A0A"/>
      <name val="Arial"/>
      <family val="2"/>
    </font>
    <font>
      <b/>
      <sz val="11"/>
      <color rgb="FFFF0000"/>
      <name val="Cambria"/>
      <family val="1"/>
    </font>
    <font>
      <b/>
      <sz val="10"/>
      <color rgb="FFFFC000"/>
      <name val="Cambria"/>
      <family val="1"/>
    </font>
    <font>
      <sz val="10"/>
      <color theme="1"/>
      <name val="Times New Roman"/>
      <family val="1"/>
    </font>
    <font>
      <sz val="11"/>
      <color theme="1"/>
      <name val="Aptos Narrow"/>
      <family val="2"/>
      <charset val="163"/>
      <scheme val="minor"/>
    </font>
    <font>
      <sz val="8"/>
      <name val="Aptos Narrow"/>
      <family val="2"/>
      <scheme val="minor"/>
    </font>
    <font>
      <sz val="11"/>
      <color theme="4" tint="-0.499984740745262"/>
      <name val="Cambria"/>
      <family val="1"/>
    </font>
    <font>
      <sz val="12"/>
      <color rgb="FFFF0000"/>
      <name val="Cambria"/>
      <family val="1"/>
    </font>
    <font>
      <sz val="12"/>
      <color theme="4" tint="-0.499984740745262"/>
      <name val="Cambria"/>
      <family val="1"/>
    </font>
    <font>
      <sz val="11"/>
      <name val="Cambria"/>
      <family val="1"/>
    </font>
    <font>
      <sz val="11"/>
      <color theme="1"/>
      <name val="Cambria"/>
      <family val="1"/>
    </font>
    <font>
      <sz val="11"/>
      <color rgb="FFFF0000"/>
      <name val="Cambria"/>
      <family val="1"/>
    </font>
    <font>
      <sz val="11"/>
      <color theme="1"/>
      <name val="Cambria"/>
      <family val="1"/>
    </font>
    <font>
      <sz val="11"/>
      <color rgb="FFFF0000"/>
      <name val="Cambria"/>
      <family val="1"/>
    </font>
    <font>
      <sz val="11"/>
      <color theme="8" tint="-0.249977111117893"/>
      <name val="Cambria"/>
      <family val="1"/>
    </font>
    <font>
      <sz val="13"/>
      <color theme="1"/>
      <name val="Cambria"/>
      <family val="1"/>
    </font>
    <font>
      <sz val="11"/>
      <color theme="1"/>
      <name val="Cambria"/>
      <family val="1"/>
    </font>
    <font>
      <sz val="11"/>
      <color rgb="FFFF0000"/>
      <name val="Cambria"/>
      <family val="1"/>
    </font>
    <font>
      <sz val="11"/>
      <color theme="1"/>
      <name val="Cambria"/>
    </font>
    <font>
      <sz val="11"/>
      <color rgb="FFFF0000"/>
      <name val="Cambria"/>
    </font>
  </fonts>
  <fills count="10">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theme="4" tint="0.79998168889431442"/>
      </patternFill>
    </fill>
    <fill>
      <patternFill patternType="solid">
        <fgColor theme="9" tint="0.79998168889431442"/>
        <bgColor indexed="64"/>
      </patternFill>
    </fill>
    <fill>
      <patternFill patternType="solid">
        <fgColor rgb="FFFF0000"/>
        <bgColor indexed="64"/>
      </patternFill>
    </fill>
  </fills>
  <borders count="12">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43" fontId="17" fillId="0" borderId="0" applyFont="0" applyFill="0" applyBorder="0" applyAlignment="0" applyProtection="0"/>
    <xf numFmtId="0" fontId="17" fillId="0" borderId="0"/>
  </cellStyleXfs>
  <cellXfs count="204">
    <xf numFmtId="0" fontId="0" fillId="0" borderId="0" xfId="0"/>
    <xf numFmtId="0" fontId="5" fillId="0" borderId="0" xfId="0" applyFont="1" applyAlignment="1">
      <alignment horizontal="center" vertical="center"/>
    </xf>
    <xf numFmtId="0" fontId="5" fillId="0" borderId="0" xfId="0" applyFont="1" applyAlignment="1">
      <alignment vertical="center"/>
    </xf>
    <xf numFmtId="0" fontId="4" fillId="0" borderId="3" xfId="0" applyFont="1" applyBorder="1" applyAlignment="1">
      <alignment vertical="center"/>
    </xf>
    <xf numFmtId="0" fontId="4" fillId="0" borderId="0" xfId="0" applyFont="1" applyAlignment="1">
      <alignment vertical="center"/>
    </xf>
    <xf numFmtId="0" fontId="4" fillId="0" borderId="5" xfId="0" applyFont="1" applyBorder="1" applyAlignment="1">
      <alignment horizontal="center" vertical="center"/>
    </xf>
    <xf numFmtId="0" fontId="0" fillId="0" borderId="0" xfId="0" applyAlignment="1">
      <alignment horizontal="center"/>
    </xf>
    <xf numFmtId="14" fontId="4" fillId="0" borderId="3" xfId="0" applyNumberFormat="1" applyFont="1" applyBorder="1" applyAlignment="1">
      <alignment vertical="center"/>
    </xf>
    <xf numFmtId="0" fontId="4" fillId="0" borderId="3" xfId="0" applyFont="1" applyBorder="1" applyAlignment="1">
      <alignment vertical="center" wrapText="1"/>
    </xf>
    <xf numFmtId="0" fontId="5" fillId="0" borderId="0" xfId="0" applyFont="1" applyAlignment="1">
      <alignment horizontal="center" vertical="center" wrapText="1"/>
    </xf>
    <xf numFmtId="0" fontId="2" fillId="2" borderId="2" xfId="0" applyFont="1" applyFill="1" applyBorder="1" applyAlignment="1">
      <alignment horizontal="center" vertical="center" wrapText="1"/>
    </xf>
    <xf numFmtId="0" fontId="7" fillId="0" borderId="3" xfId="0" applyFont="1" applyBorder="1" applyAlignment="1">
      <alignment vertical="center" wrapText="1"/>
    </xf>
    <xf numFmtId="0" fontId="0" fillId="0" borderId="0" xfId="0" applyAlignment="1">
      <alignment wrapText="1"/>
    </xf>
    <xf numFmtId="0" fontId="8" fillId="0" borderId="3" xfId="0" applyFont="1" applyBorder="1" applyAlignment="1">
      <alignment vertical="center"/>
    </xf>
    <xf numFmtId="0" fontId="8" fillId="0" borderId="3" xfId="0" applyFont="1" applyBorder="1" applyAlignment="1">
      <alignment vertical="center" wrapText="1"/>
    </xf>
    <xf numFmtId="0" fontId="4" fillId="0" borderId="3" xfId="0" applyFont="1" applyBorder="1" applyAlignment="1">
      <alignment horizontal="center" vertical="center"/>
    </xf>
    <xf numFmtId="166" fontId="4" fillId="0" borderId="3" xfId="1" applyNumberFormat="1" applyFont="1" applyBorder="1" applyAlignment="1">
      <alignment vertical="center"/>
    </xf>
    <xf numFmtId="0" fontId="7" fillId="0" borderId="3" xfId="0" applyFont="1" applyBorder="1" applyAlignment="1">
      <alignment vertical="center"/>
    </xf>
    <xf numFmtId="0" fontId="5" fillId="0" borderId="0" xfId="0" applyFont="1" applyAlignment="1">
      <alignment horizontal="left" vertical="center"/>
    </xf>
    <xf numFmtId="0" fontId="0" fillId="0" borderId="0" xfId="0" applyAlignment="1">
      <alignment horizontal="left"/>
    </xf>
    <xf numFmtId="0" fontId="4" fillId="0" borderId="3" xfId="0" applyFont="1" applyBorder="1" applyAlignment="1">
      <alignment horizontal="left" vertical="center"/>
    </xf>
    <xf numFmtId="0" fontId="4" fillId="0" borderId="3" xfId="0" quotePrefix="1" applyFont="1" applyBorder="1" applyAlignment="1">
      <alignment horizontal="left" vertical="center"/>
    </xf>
    <xf numFmtId="17" fontId="4" fillId="0" borderId="3" xfId="0" applyNumberFormat="1" applyFont="1" applyBorder="1" applyAlignment="1">
      <alignment vertical="center"/>
    </xf>
    <xf numFmtId="167" fontId="4" fillId="0" borderId="3" xfId="1" applyNumberFormat="1" applyFont="1" applyBorder="1" applyAlignment="1">
      <alignment vertical="center"/>
    </xf>
    <xf numFmtId="164" fontId="4" fillId="0" borderId="3" xfId="1" applyFont="1" applyBorder="1" applyAlignment="1">
      <alignment vertical="center"/>
    </xf>
    <xf numFmtId="0" fontId="9" fillId="0" borderId="3" xfId="0" applyFont="1" applyBorder="1" applyAlignment="1">
      <alignment vertical="center"/>
    </xf>
    <xf numFmtId="0" fontId="4" fillId="0" borderId="3" xfId="0" applyFont="1" applyBorder="1" applyAlignment="1">
      <alignment horizontal="right" vertical="center"/>
    </xf>
    <xf numFmtId="0" fontId="0" fillId="0" borderId="3" xfId="0" applyBorder="1" applyAlignment="1">
      <alignment vertical="center"/>
    </xf>
    <xf numFmtId="0" fontId="11" fillId="0" borderId="3" xfId="0" applyFont="1" applyBorder="1" applyAlignment="1">
      <alignment vertical="center" wrapText="1"/>
    </xf>
    <xf numFmtId="0" fontId="12" fillId="0" borderId="3" xfId="0" applyFont="1" applyBorder="1" applyAlignment="1">
      <alignment horizontal="left" vertical="center"/>
    </xf>
    <xf numFmtId="0" fontId="14" fillId="0" borderId="0" xfId="0" applyFont="1" applyAlignment="1">
      <alignment horizontal="center" vertical="center"/>
    </xf>
    <xf numFmtId="166" fontId="8" fillId="0" borderId="3" xfId="0" applyNumberFormat="1" applyFont="1" applyBorder="1" applyAlignment="1">
      <alignment vertical="center"/>
    </xf>
    <xf numFmtId="0" fontId="10" fillId="0" borderId="0" xfId="0" applyFont="1"/>
    <xf numFmtId="164" fontId="16" fillId="0" borderId="3" xfId="1" applyFont="1" applyFill="1" applyBorder="1" applyAlignment="1">
      <alignment vertical="center" wrapText="1"/>
    </xf>
    <xf numFmtId="2" fontId="16" fillId="0" borderId="3" xfId="0" applyNumberFormat="1" applyFont="1" applyBorder="1" applyAlignment="1">
      <alignment vertical="center"/>
    </xf>
    <xf numFmtId="0" fontId="2" fillId="2" borderId="1" xfId="0" applyFont="1" applyFill="1" applyBorder="1" applyAlignment="1">
      <alignment horizontal="center" vertical="center" wrapText="1"/>
    </xf>
    <xf numFmtId="165" fontId="2" fillId="2" borderId="2" xfId="1" applyNumberFormat="1" applyFont="1" applyFill="1" applyBorder="1" applyAlignment="1">
      <alignment horizontal="center" vertical="center" wrapText="1"/>
    </xf>
    <xf numFmtId="0" fontId="15"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4" fillId="0" borderId="3" xfId="0" applyFont="1" applyBorder="1" applyAlignment="1">
      <alignment horizontal="left" vertical="center" wrapText="1"/>
    </xf>
    <xf numFmtId="167" fontId="4" fillId="0" borderId="3" xfId="1" applyNumberFormat="1" applyFont="1" applyBorder="1" applyAlignment="1">
      <alignment horizontal="left" vertical="center"/>
    </xf>
    <xf numFmtId="166" fontId="4" fillId="0" borderId="3" xfId="1" applyNumberFormat="1" applyFont="1" applyBorder="1" applyAlignment="1">
      <alignment horizontal="left" vertical="center"/>
    </xf>
    <xf numFmtId="166" fontId="8" fillId="0" borderId="3" xfId="0" applyNumberFormat="1" applyFont="1" applyBorder="1" applyAlignment="1">
      <alignment horizontal="left" vertical="center"/>
    </xf>
    <xf numFmtId="0" fontId="4" fillId="0" borderId="0" xfId="0" applyFont="1" applyAlignment="1">
      <alignment horizontal="left" vertical="center"/>
    </xf>
    <xf numFmtId="0" fontId="4" fillId="0" borderId="6" xfId="0" applyFont="1" applyBorder="1" applyAlignment="1">
      <alignment horizontal="left" vertical="center"/>
    </xf>
    <xf numFmtId="0" fontId="4" fillId="0" borderId="6" xfId="0" applyFont="1" applyBorder="1" applyAlignment="1">
      <alignment horizontal="left" vertical="center" wrapText="1"/>
    </xf>
    <xf numFmtId="167" fontId="4" fillId="0" borderId="6" xfId="1" applyNumberFormat="1" applyFont="1" applyBorder="1" applyAlignment="1">
      <alignment horizontal="left" vertical="center"/>
    </xf>
    <xf numFmtId="166" fontId="4" fillId="0" borderId="6" xfId="1" applyNumberFormat="1" applyFont="1" applyBorder="1" applyAlignment="1">
      <alignment horizontal="left" vertical="center"/>
    </xf>
    <xf numFmtId="166" fontId="8" fillId="0" borderId="6" xfId="0" applyNumberFormat="1" applyFont="1" applyBorder="1" applyAlignment="1">
      <alignment horizontal="left" vertical="center"/>
    </xf>
    <xf numFmtId="14" fontId="4" fillId="0" borderId="3" xfId="0" applyNumberFormat="1" applyFont="1" applyBorder="1" applyAlignment="1">
      <alignment horizontal="right" vertical="center"/>
    </xf>
    <xf numFmtId="0" fontId="8" fillId="0" borderId="3" xfId="0" applyFont="1" applyBorder="1" applyAlignment="1">
      <alignment horizontal="left" vertical="center"/>
    </xf>
    <xf numFmtId="0" fontId="4" fillId="0" borderId="5" xfId="0" applyFont="1" applyBorder="1" applyAlignment="1">
      <alignment horizontal="center"/>
    </xf>
    <xf numFmtId="0" fontId="4" fillId="0" borderId="3" xfId="0" applyFont="1" applyBorder="1"/>
    <xf numFmtId="0" fontId="4" fillId="0" borderId="3" xfId="0" applyFont="1" applyBorder="1" applyAlignment="1">
      <alignment wrapText="1"/>
    </xf>
    <xf numFmtId="0" fontId="4" fillId="0" borderId="3" xfId="0" applyFont="1" applyBorder="1" applyAlignment="1">
      <alignment horizontal="center"/>
    </xf>
    <xf numFmtId="167" fontId="4" fillId="0" borderId="3" xfId="1" applyNumberFormat="1" applyFont="1" applyBorder="1"/>
    <xf numFmtId="166" fontId="4" fillId="0" borderId="3" xfId="1" applyNumberFormat="1" applyFont="1" applyBorder="1"/>
    <xf numFmtId="166" fontId="8" fillId="0" borderId="3" xfId="0" applyNumberFormat="1" applyFont="1" applyBorder="1"/>
    <xf numFmtId="0" fontId="4" fillId="0" borderId="3" xfId="0" applyFont="1" applyBorder="1" applyAlignment="1">
      <alignment horizontal="left"/>
    </xf>
    <xf numFmtId="168" fontId="9" fillId="0" borderId="3" xfId="2" applyNumberFormat="1" applyFont="1" applyFill="1" applyBorder="1"/>
    <xf numFmtId="166" fontId="0" fillId="0" borderId="3" xfId="1" applyNumberFormat="1" applyFont="1" applyBorder="1"/>
    <xf numFmtId="166" fontId="8" fillId="0" borderId="0" xfId="0" applyNumberFormat="1" applyFont="1" applyAlignment="1">
      <alignment vertical="center"/>
    </xf>
    <xf numFmtId="0" fontId="4" fillId="0" borderId="6" xfId="0" applyFont="1" applyBorder="1" applyAlignment="1">
      <alignment horizontal="center" vertical="center"/>
    </xf>
    <xf numFmtId="0" fontId="8" fillId="0" borderId="6" xfId="0" applyFont="1" applyBorder="1" applyAlignment="1">
      <alignment horizontal="left" vertical="center"/>
    </xf>
    <xf numFmtId="0" fontId="5" fillId="0" borderId="0" xfId="0" applyFont="1" applyAlignment="1">
      <alignment horizontal="right" vertical="center"/>
    </xf>
    <xf numFmtId="0" fontId="2" fillId="2" borderId="2" xfId="0" applyFont="1" applyFill="1" applyBorder="1" applyAlignment="1">
      <alignment horizontal="right" vertical="center" wrapText="1"/>
    </xf>
    <xf numFmtId="0" fontId="4" fillId="0" borderId="6" xfId="0" applyFont="1" applyBorder="1" applyAlignment="1">
      <alignment horizontal="right" vertical="center"/>
    </xf>
    <xf numFmtId="0" fontId="4" fillId="0" borderId="3" xfId="0" applyFont="1" applyBorder="1" applyAlignment="1">
      <alignment horizontal="right"/>
    </xf>
    <xf numFmtId="0" fontId="0" fillId="0" borderId="0" xfId="0" applyAlignment="1">
      <alignment horizontal="right"/>
    </xf>
    <xf numFmtId="14" fontId="4" fillId="0" borderId="6" xfId="0" applyNumberFormat="1" applyFont="1" applyBorder="1" applyAlignment="1">
      <alignment horizontal="right" vertical="center"/>
    </xf>
    <xf numFmtId="166" fontId="4" fillId="0" borderId="10" xfId="1" applyNumberFormat="1" applyFont="1" applyBorder="1" applyAlignment="1">
      <alignment horizontal="left" vertical="center"/>
    </xf>
    <xf numFmtId="166" fontId="8" fillId="0" borderId="10" xfId="0" applyNumberFormat="1" applyFont="1" applyBorder="1" applyAlignment="1">
      <alignment horizontal="left" vertical="center"/>
    </xf>
    <xf numFmtId="0" fontId="4" fillId="0" borderId="9" xfId="0" applyFont="1" applyBorder="1" applyAlignment="1">
      <alignment horizontal="center"/>
    </xf>
    <xf numFmtId="0" fontId="4" fillId="0" borderId="6" xfId="0" applyFont="1" applyBorder="1"/>
    <xf numFmtId="0" fontId="4" fillId="0" borderId="6" xfId="0" applyFont="1" applyBorder="1" applyAlignment="1">
      <alignment wrapText="1"/>
    </xf>
    <xf numFmtId="0" fontId="4" fillId="0" borderId="6" xfId="0" applyFont="1" applyBorder="1" applyAlignment="1">
      <alignment horizontal="center"/>
    </xf>
    <xf numFmtId="167" fontId="4" fillId="0" borderId="6" xfId="1" applyNumberFormat="1" applyFont="1" applyBorder="1"/>
    <xf numFmtId="0" fontId="4" fillId="0" borderId="6" xfId="0" applyFont="1" applyBorder="1" applyAlignment="1">
      <alignment horizontal="right"/>
    </xf>
    <xf numFmtId="166" fontId="4" fillId="0" borderId="6" xfId="1" applyNumberFormat="1" applyFont="1" applyBorder="1"/>
    <xf numFmtId="166" fontId="8" fillId="0" borderId="6" xfId="0" applyNumberFormat="1" applyFont="1" applyBorder="1"/>
    <xf numFmtId="0" fontId="4" fillId="0" borderId="6" xfId="0" applyFont="1" applyBorder="1" applyAlignment="1">
      <alignment horizontal="left"/>
    </xf>
    <xf numFmtId="0" fontId="19" fillId="0" borderId="3" xfId="0" applyFont="1" applyBorder="1" applyAlignment="1">
      <alignment vertical="center"/>
    </xf>
    <xf numFmtId="0" fontId="8" fillId="0" borderId="8" xfId="0" applyFont="1" applyBorder="1" applyAlignment="1">
      <alignment vertical="center"/>
    </xf>
    <xf numFmtId="0" fontId="19" fillId="0" borderId="6" xfId="0" applyFont="1" applyBorder="1" applyAlignment="1">
      <alignment vertical="center"/>
    </xf>
    <xf numFmtId="0" fontId="8" fillId="0" borderId="7" xfId="0" applyFont="1" applyBorder="1" applyAlignment="1">
      <alignment vertical="center"/>
    </xf>
    <xf numFmtId="0" fontId="4" fillId="0" borderId="6" xfId="0" applyFont="1" applyBorder="1" applyAlignment="1">
      <alignment vertical="center"/>
    </xf>
    <xf numFmtId="0" fontId="8" fillId="0" borderId="6" xfId="0" applyFont="1" applyBorder="1" applyAlignment="1">
      <alignment vertical="center"/>
    </xf>
    <xf numFmtId="0" fontId="20" fillId="0" borderId="3" xfId="0" applyFont="1" applyBorder="1" applyAlignment="1">
      <alignment vertical="center"/>
    </xf>
    <xf numFmtId="0" fontId="19" fillId="0" borderId="8" xfId="0" applyFont="1" applyBorder="1" applyAlignment="1">
      <alignment vertical="center"/>
    </xf>
    <xf numFmtId="0" fontId="19" fillId="0" borderId="11" xfId="0" applyFont="1" applyBorder="1" applyAlignment="1">
      <alignment vertical="center"/>
    </xf>
    <xf numFmtId="0" fontId="21" fillId="0" borderId="3" xfId="0" applyFont="1" applyBorder="1" applyAlignment="1">
      <alignment vertical="center" wrapText="1"/>
    </xf>
    <xf numFmtId="0" fontId="22" fillId="0" borderId="6" xfId="0" applyFont="1" applyBorder="1" applyAlignment="1">
      <alignment horizontal="left" vertical="center"/>
    </xf>
    <xf numFmtId="0" fontId="8" fillId="0" borderId="6" xfId="0" applyFont="1" applyBorder="1" applyAlignment="1">
      <alignment horizontal="left" vertical="center" wrapText="1"/>
    </xf>
    <xf numFmtId="0" fontId="16" fillId="0" borderId="3" xfId="0" applyFont="1" applyBorder="1" applyAlignment="1">
      <alignment vertical="center" wrapText="1"/>
    </xf>
    <xf numFmtId="167" fontId="4" fillId="0" borderId="6" xfId="1" applyNumberFormat="1" applyFont="1" applyBorder="1" applyAlignment="1">
      <alignment horizontal="right" vertical="center"/>
    </xf>
    <xf numFmtId="166" fontId="14" fillId="0" borderId="3" xfId="0" applyNumberFormat="1" applyFont="1" applyBorder="1"/>
    <xf numFmtId="0" fontId="14" fillId="0" borderId="3" xfId="0" applyFont="1" applyBorder="1"/>
    <xf numFmtId="0" fontId="4" fillId="3" borderId="6" xfId="0" applyFont="1" applyFill="1" applyBorder="1" applyAlignment="1">
      <alignment vertical="center"/>
    </xf>
    <xf numFmtId="0" fontId="8" fillId="3" borderId="6" xfId="0" applyFont="1" applyFill="1" applyBorder="1" applyAlignment="1">
      <alignment vertical="center"/>
    </xf>
    <xf numFmtId="0" fontId="4" fillId="4" borderId="6" xfId="0" applyFont="1" applyFill="1" applyBorder="1" applyAlignment="1">
      <alignment vertical="center"/>
    </xf>
    <xf numFmtId="0" fontId="8" fillId="4" borderId="6" xfId="0" applyFont="1" applyFill="1" applyBorder="1" applyAlignment="1">
      <alignment vertical="center"/>
    </xf>
    <xf numFmtId="167" fontId="8" fillId="0" borderId="3" xfId="0" applyNumberFormat="1" applyFont="1" applyBorder="1" applyAlignment="1">
      <alignment vertical="center"/>
    </xf>
    <xf numFmtId="166" fontId="4" fillId="3" borderId="3" xfId="1" applyNumberFormat="1" applyFont="1" applyFill="1" applyBorder="1" applyAlignment="1">
      <alignment vertical="center"/>
    </xf>
    <xf numFmtId="167" fontId="4" fillId="3" borderId="3" xfId="1" applyNumberFormat="1" applyFont="1" applyFill="1" applyBorder="1" applyAlignment="1">
      <alignment vertical="center"/>
    </xf>
    <xf numFmtId="166" fontId="4" fillId="5" borderId="3" xfId="1" applyNumberFormat="1" applyFont="1" applyFill="1" applyBorder="1" applyAlignment="1">
      <alignment vertical="center"/>
    </xf>
    <xf numFmtId="166" fontId="4" fillId="4" borderId="3" xfId="1" applyNumberFormat="1" applyFont="1" applyFill="1" applyBorder="1" applyAlignment="1">
      <alignment vertical="center"/>
    </xf>
    <xf numFmtId="166" fontId="4" fillId="4" borderId="6" xfId="1" applyNumberFormat="1" applyFont="1" applyFill="1" applyBorder="1" applyAlignment="1">
      <alignment horizontal="left" vertical="center"/>
    </xf>
    <xf numFmtId="166" fontId="4" fillId="4" borderId="3" xfId="1" applyNumberFormat="1" applyFont="1" applyFill="1" applyBorder="1" applyAlignment="1">
      <alignment horizontal="left" vertical="center"/>
    </xf>
    <xf numFmtId="166" fontId="4" fillId="3" borderId="6" xfId="1" applyNumberFormat="1" applyFont="1" applyFill="1" applyBorder="1" applyAlignment="1">
      <alignment horizontal="left" vertical="center"/>
    </xf>
    <xf numFmtId="164" fontId="4" fillId="0" borderId="6" xfId="1" applyFont="1" applyBorder="1" applyAlignment="1">
      <alignment horizontal="left" vertical="center"/>
    </xf>
    <xf numFmtId="164" fontId="4" fillId="0" borderId="3" xfId="1" applyFont="1" applyBorder="1" applyAlignment="1">
      <alignment horizontal="left" vertical="center"/>
    </xf>
    <xf numFmtId="0" fontId="22" fillId="0" borderId="3" xfId="0" applyFont="1" applyBorder="1" applyAlignment="1">
      <alignment horizontal="left" vertical="center"/>
    </xf>
    <xf numFmtId="0" fontId="8" fillId="0" borderId="6" xfId="0" applyFont="1" applyBorder="1" applyAlignment="1">
      <alignment vertical="center" wrapText="1"/>
    </xf>
    <xf numFmtId="0" fontId="4" fillId="3" borderId="3" xfId="0" applyFont="1" applyFill="1" applyBorder="1" applyAlignment="1">
      <alignment horizontal="left" vertical="center"/>
    </xf>
    <xf numFmtId="0" fontId="8" fillId="3" borderId="3" xfId="0" applyFont="1" applyFill="1" applyBorder="1" applyAlignment="1">
      <alignment vertical="center" wrapText="1"/>
    </xf>
    <xf numFmtId="0" fontId="4" fillId="4" borderId="3" xfId="0" applyFont="1" applyFill="1" applyBorder="1" applyAlignment="1">
      <alignment horizontal="left" vertical="center"/>
    </xf>
    <xf numFmtId="0" fontId="8" fillId="4" borderId="3" xfId="0" applyFont="1" applyFill="1" applyBorder="1" applyAlignment="1">
      <alignment vertical="center" wrapText="1"/>
    </xf>
    <xf numFmtId="164" fontId="8" fillId="0" borderId="3" xfId="0" applyNumberFormat="1" applyFont="1" applyBorder="1" applyAlignment="1">
      <alignment vertical="center"/>
    </xf>
    <xf numFmtId="164" fontId="8" fillId="0" borderId="6" xfId="0" applyNumberFormat="1" applyFont="1" applyBorder="1" applyAlignment="1">
      <alignment horizontal="left" vertical="center"/>
    </xf>
    <xf numFmtId="164" fontId="8" fillId="0" borderId="3" xfId="0" applyNumberFormat="1" applyFont="1" applyBorder="1" applyAlignment="1">
      <alignment horizontal="left" vertical="center"/>
    </xf>
    <xf numFmtId="167" fontId="8" fillId="0" borderId="6" xfId="0" applyNumberFormat="1" applyFont="1" applyBorder="1" applyAlignment="1">
      <alignment horizontal="left" vertical="center"/>
    </xf>
    <xf numFmtId="0" fontId="24" fillId="0" borderId="3" xfId="0" applyFont="1" applyBorder="1" applyAlignment="1">
      <alignment horizontal="left" vertical="center"/>
    </xf>
    <xf numFmtId="0" fontId="23" fillId="0" borderId="3" xfId="0" applyFont="1" applyBorder="1" applyAlignment="1">
      <alignment horizontal="left" vertical="center"/>
    </xf>
    <xf numFmtId="167" fontId="23" fillId="0" borderId="3" xfId="1" applyNumberFormat="1" applyFont="1" applyBorder="1" applyAlignment="1">
      <alignment horizontal="left" vertical="center"/>
    </xf>
    <xf numFmtId="14" fontId="23" fillId="0" borderId="3" xfId="0" applyNumberFormat="1" applyFont="1" applyBorder="1" applyAlignment="1">
      <alignment horizontal="right" vertical="center"/>
    </xf>
    <xf numFmtId="0" fontId="23" fillId="0" borderId="3" xfId="0" applyFont="1" applyBorder="1" applyAlignment="1">
      <alignment horizontal="right" vertical="center"/>
    </xf>
    <xf numFmtId="166" fontId="23" fillId="0" borderId="3" xfId="1" applyNumberFormat="1" applyFont="1" applyBorder="1" applyAlignment="1">
      <alignment horizontal="left" vertical="center"/>
    </xf>
    <xf numFmtId="166" fontId="23" fillId="0" borderId="6" xfId="1" applyNumberFormat="1" applyFont="1" applyBorder="1" applyAlignment="1">
      <alignment horizontal="left" vertical="center"/>
    </xf>
    <xf numFmtId="166" fontId="23" fillId="0" borderId="10" xfId="1" applyNumberFormat="1" applyFont="1" applyBorder="1" applyAlignment="1">
      <alignment horizontal="left" vertical="center"/>
    </xf>
    <xf numFmtId="166" fontId="24" fillId="0" borderId="3" xfId="0" applyNumberFormat="1" applyFont="1" applyBorder="1" applyAlignment="1">
      <alignment horizontal="left" vertical="center"/>
    </xf>
    <xf numFmtId="166" fontId="24" fillId="0" borderId="6" xfId="0" applyNumberFormat="1" applyFont="1" applyBorder="1" applyAlignment="1">
      <alignment horizontal="left" vertical="center"/>
    </xf>
    <xf numFmtId="0" fontId="8" fillId="3" borderId="3"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0" borderId="3" xfId="0" applyFont="1" applyBorder="1" applyAlignment="1">
      <alignment horizontal="left" vertical="center" wrapText="1"/>
    </xf>
    <xf numFmtId="0" fontId="8" fillId="0" borderId="3" xfId="0" applyFont="1" applyBorder="1" applyAlignment="1">
      <alignment horizontal="center" vertical="center"/>
    </xf>
    <xf numFmtId="0" fontId="25" fillId="0" borderId="3" xfId="0" applyFont="1" applyBorder="1" applyAlignment="1">
      <alignment horizontal="left" vertical="center"/>
    </xf>
    <xf numFmtId="167" fontId="25" fillId="0" borderId="3" xfId="1" applyNumberFormat="1" applyFont="1" applyBorder="1" applyAlignment="1">
      <alignment horizontal="left" vertical="center"/>
    </xf>
    <xf numFmtId="14" fontId="25" fillId="0" borderId="3" xfId="0" applyNumberFormat="1" applyFont="1" applyBorder="1" applyAlignment="1">
      <alignment horizontal="right" vertical="center"/>
    </xf>
    <xf numFmtId="0" fontId="25" fillId="0" borderId="3" xfId="0" applyFont="1" applyBorder="1" applyAlignment="1">
      <alignment horizontal="right" vertical="center"/>
    </xf>
    <xf numFmtId="166" fontId="25" fillId="0" borderId="3" xfId="1" applyNumberFormat="1" applyFont="1" applyBorder="1" applyAlignment="1">
      <alignment horizontal="left" vertical="center"/>
    </xf>
    <xf numFmtId="166" fontId="25" fillId="0" borderId="6" xfId="1" applyNumberFormat="1" applyFont="1" applyBorder="1" applyAlignment="1">
      <alignment horizontal="left" vertical="center"/>
    </xf>
    <xf numFmtId="166" fontId="26" fillId="0" borderId="3" xfId="0" applyNumberFormat="1" applyFont="1" applyBorder="1" applyAlignment="1">
      <alignment horizontal="left" vertical="center"/>
    </xf>
    <xf numFmtId="166" fontId="26" fillId="0" borderId="6" xfId="0" applyNumberFormat="1" applyFont="1" applyBorder="1" applyAlignment="1">
      <alignment horizontal="left" vertical="center"/>
    </xf>
    <xf numFmtId="164" fontId="25" fillId="0" borderId="3" xfId="1" applyFont="1" applyBorder="1" applyAlignment="1">
      <alignment horizontal="left" vertical="center"/>
    </xf>
    <xf numFmtId="164" fontId="26" fillId="0" borderId="3" xfId="0" applyNumberFormat="1" applyFont="1" applyBorder="1" applyAlignment="1">
      <alignment horizontal="left" vertical="center"/>
    </xf>
    <xf numFmtId="166" fontId="8" fillId="0" borderId="3" xfId="1" applyNumberFormat="1" applyFont="1" applyBorder="1" applyAlignment="1">
      <alignment vertical="center"/>
    </xf>
    <xf numFmtId="164" fontId="27" fillId="0" borderId="3" xfId="1" applyFont="1" applyBorder="1" applyAlignment="1">
      <alignment vertical="center"/>
    </xf>
    <xf numFmtId="164" fontId="23" fillId="0" borderId="3" xfId="1" applyFont="1" applyBorder="1" applyAlignment="1">
      <alignment horizontal="left" vertical="center"/>
    </xf>
    <xf numFmtId="164" fontId="24" fillId="0" borderId="3" xfId="0" applyNumberFormat="1" applyFont="1" applyBorder="1" applyAlignment="1">
      <alignment horizontal="left" vertical="center"/>
    </xf>
    <xf numFmtId="167" fontId="0" fillId="0" borderId="3" xfId="1" applyNumberFormat="1" applyFont="1" applyBorder="1"/>
    <xf numFmtId="164" fontId="4" fillId="0" borderId="3" xfId="1" applyFont="1" applyBorder="1" applyAlignment="1">
      <alignment horizontal="right" vertical="center"/>
    </xf>
    <xf numFmtId="0" fontId="28" fillId="0" borderId="8" xfId="0" applyFont="1" applyBorder="1" applyAlignment="1">
      <alignment vertical="center" wrapText="1"/>
    </xf>
    <xf numFmtId="0" fontId="4" fillId="0" borderId="8" xfId="0" applyFont="1" applyBorder="1" applyAlignment="1">
      <alignment vertical="center"/>
    </xf>
    <xf numFmtId="0" fontId="7" fillId="0" borderId="3" xfId="3" applyFont="1" applyBorder="1" applyAlignment="1">
      <alignment vertical="center"/>
    </xf>
    <xf numFmtId="0" fontId="4" fillId="4" borderId="3" xfId="0" applyFont="1" applyFill="1" applyBorder="1" applyAlignment="1">
      <alignment vertical="center"/>
    </xf>
    <xf numFmtId="0" fontId="8" fillId="3" borderId="3" xfId="0" applyFont="1" applyFill="1" applyBorder="1" applyAlignment="1">
      <alignment vertical="center"/>
    </xf>
    <xf numFmtId="0" fontId="8" fillId="4" borderId="3" xfId="0" applyFont="1" applyFill="1" applyBorder="1" applyAlignment="1">
      <alignment horizontal="left" vertical="center"/>
    </xf>
    <xf numFmtId="167" fontId="4" fillId="4" borderId="3" xfId="1" applyNumberFormat="1" applyFont="1" applyFill="1" applyBorder="1" applyAlignment="1">
      <alignment vertical="center"/>
    </xf>
    <xf numFmtId="166" fontId="4" fillId="0" borderId="2" xfId="1" applyNumberFormat="1" applyFont="1" applyBorder="1" applyAlignment="1">
      <alignment horizontal="left" vertical="center"/>
    </xf>
    <xf numFmtId="0" fontId="10" fillId="3" borderId="3" xfId="0" applyFont="1" applyFill="1" applyBorder="1" applyAlignment="1">
      <alignment vertical="center"/>
    </xf>
    <xf numFmtId="0" fontId="29" fillId="0" borderId="5" xfId="0" applyFont="1" applyBorder="1" applyAlignment="1">
      <alignment horizontal="center" vertical="center"/>
    </xf>
    <xf numFmtId="0" fontId="30" fillId="0" borderId="3" xfId="0" applyFont="1" applyBorder="1" applyAlignment="1">
      <alignment horizontal="left" vertical="center"/>
    </xf>
    <xf numFmtId="0" fontId="29" fillId="0" borderId="3" xfId="0" applyFont="1" applyBorder="1" applyAlignment="1">
      <alignment horizontal="left" vertical="center"/>
    </xf>
    <xf numFmtId="0" fontId="29" fillId="0" borderId="3" xfId="0" applyFont="1" applyBorder="1" applyAlignment="1">
      <alignment horizontal="center" vertical="center"/>
    </xf>
    <xf numFmtId="167" fontId="29" fillId="0" borderId="3" xfId="1" applyNumberFormat="1" applyFont="1" applyBorder="1" applyAlignment="1">
      <alignment horizontal="left" vertical="center"/>
    </xf>
    <xf numFmtId="14" fontId="29" fillId="0" borderId="3" xfId="0" applyNumberFormat="1" applyFont="1" applyBorder="1" applyAlignment="1">
      <alignment horizontal="right" vertical="center"/>
    </xf>
    <xf numFmtId="0" fontId="29" fillId="0" borderId="3" xfId="0" applyFont="1" applyBorder="1" applyAlignment="1">
      <alignment horizontal="right" vertical="center"/>
    </xf>
    <xf numFmtId="166" fontId="29" fillId="0" borderId="3" xfId="1" applyNumberFormat="1" applyFont="1" applyBorder="1" applyAlignment="1">
      <alignment horizontal="left" vertical="center"/>
    </xf>
    <xf numFmtId="166" fontId="29" fillId="0" borderId="3" xfId="1" applyNumberFormat="1" applyFont="1" applyBorder="1" applyAlignment="1">
      <alignment vertical="center"/>
    </xf>
    <xf numFmtId="166" fontId="29" fillId="0" borderId="6" xfId="1" applyNumberFormat="1" applyFont="1" applyBorder="1" applyAlignment="1">
      <alignment horizontal="left" vertical="center"/>
    </xf>
    <xf numFmtId="166" fontId="30" fillId="0" borderId="3" xfId="0" applyNumberFormat="1" applyFont="1" applyBorder="1" applyAlignment="1">
      <alignment horizontal="left" vertical="center"/>
    </xf>
    <xf numFmtId="166" fontId="30" fillId="0" borderId="6" xfId="0" applyNumberFormat="1" applyFont="1" applyBorder="1" applyAlignment="1">
      <alignment horizontal="left" vertical="center"/>
    </xf>
    <xf numFmtId="0" fontId="29" fillId="3" borderId="3" xfId="0" applyFont="1" applyFill="1" applyBorder="1" applyAlignment="1">
      <alignment horizontal="left" vertical="center" wrapText="1"/>
    </xf>
    <xf numFmtId="0" fontId="4" fillId="3" borderId="3" xfId="0" applyFont="1" applyFill="1" applyBorder="1" applyAlignment="1">
      <alignment vertical="center" wrapText="1"/>
    </xf>
    <xf numFmtId="164" fontId="29" fillId="0" borderId="3" xfId="1" applyFont="1" applyBorder="1" applyAlignment="1">
      <alignment horizontal="left" vertical="center"/>
    </xf>
    <xf numFmtId="0" fontId="4" fillId="5" borderId="3" xfId="0" applyFont="1" applyFill="1" applyBorder="1" applyAlignment="1">
      <alignment vertical="center" wrapText="1"/>
    </xf>
    <xf numFmtId="167" fontId="8" fillId="0" borderId="3" xfId="0" applyNumberFormat="1" applyFont="1" applyBorder="1" applyAlignment="1">
      <alignment horizontal="left" vertical="center"/>
    </xf>
    <xf numFmtId="0" fontId="8" fillId="3" borderId="3" xfId="0" applyFont="1" applyFill="1" applyBorder="1" applyAlignment="1">
      <alignment horizontal="left" vertical="center"/>
    </xf>
    <xf numFmtId="0" fontId="4" fillId="6" borderId="3" xfId="0" applyFont="1" applyFill="1" applyBorder="1" applyAlignment="1">
      <alignment horizontal="left" vertical="center"/>
    </xf>
    <xf numFmtId="0" fontId="4" fillId="7" borderId="3" xfId="0" applyFont="1" applyFill="1" applyBorder="1" applyAlignment="1">
      <alignment vertical="center" wrapText="1"/>
    </xf>
    <xf numFmtId="0" fontId="0" fillId="3" borderId="0" xfId="0" applyFill="1"/>
    <xf numFmtId="0" fontId="0" fillId="3" borderId="0" xfId="0" applyFill="1" applyAlignment="1">
      <alignment wrapText="1"/>
    </xf>
    <xf numFmtId="0" fontId="4" fillId="6" borderId="3" xfId="0" applyFont="1" applyFill="1" applyBorder="1" applyAlignment="1">
      <alignment vertical="center" wrapText="1"/>
    </xf>
    <xf numFmtId="0" fontId="32" fillId="0" borderId="3" xfId="0" applyFont="1" applyBorder="1" applyAlignment="1">
      <alignment horizontal="left" vertical="center"/>
    </xf>
    <xf numFmtId="0" fontId="31" fillId="0" borderId="3" xfId="0" applyFont="1" applyBorder="1" applyAlignment="1">
      <alignment horizontal="left" vertical="center"/>
    </xf>
    <xf numFmtId="0" fontId="31" fillId="6" borderId="3" xfId="0" applyFont="1" applyFill="1" applyBorder="1" applyAlignment="1">
      <alignment vertical="center" wrapText="1"/>
    </xf>
    <xf numFmtId="167" fontId="31" fillId="0" borderId="3" xfId="1" applyNumberFormat="1" applyFont="1" applyBorder="1" applyAlignment="1">
      <alignment horizontal="left" vertical="center"/>
    </xf>
    <xf numFmtId="14" fontId="31" fillId="0" borderId="3" xfId="0" applyNumberFormat="1" applyFont="1" applyBorder="1" applyAlignment="1">
      <alignment horizontal="right" vertical="center"/>
    </xf>
    <xf numFmtId="0" fontId="31" fillId="0" borderId="3" xfId="0" applyFont="1" applyBorder="1" applyAlignment="1">
      <alignment horizontal="right" vertical="center"/>
    </xf>
    <xf numFmtId="166" fontId="31" fillId="0" borderId="3" xfId="1" applyNumberFormat="1" applyFont="1" applyBorder="1" applyAlignment="1">
      <alignment horizontal="left" vertical="center"/>
    </xf>
    <xf numFmtId="166" fontId="31" fillId="0" borderId="3" xfId="1" applyNumberFormat="1" applyFont="1" applyBorder="1" applyAlignment="1">
      <alignment vertical="center"/>
    </xf>
    <xf numFmtId="166" fontId="31" fillId="0" borderId="6" xfId="1" applyNumberFormat="1" applyFont="1" applyBorder="1" applyAlignment="1">
      <alignment horizontal="left" vertical="center"/>
    </xf>
    <xf numFmtId="166" fontId="31" fillId="0" borderId="10" xfId="1" applyNumberFormat="1" applyFont="1" applyBorder="1" applyAlignment="1">
      <alignment horizontal="left" vertical="center"/>
    </xf>
    <xf numFmtId="166" fontId="32" fillId="0" borderId="3" xfId="0" applyNumberFormat="1" applyFont="1" applyBorder="1" applyAlignment="1">
      <alignment horizontal="left" vertical="center"/>
    </xf>
    <xf numFmtId="166" fontId="32" fillId="0" borderId="6" xfId="0" applyNumberFormat="1" applyFont="1" applyBorder="1" applyAlignment="1">
      <alignment horizontal="left" vertical="center"/>
    </xf>
    <xf numFmtId="0" fontId="31" fillId="3" borderId="3" xfId="0" applyFont="1" applyFill="1" applyBorder="1" applyAlignment="1">
      <alignment vertical="center" wrapText="1"/>
    </xf>
    <xf numFmtId="0" fontId="4" fillId="9" borderId="3" xfId="0" applyFont="1" applyFill="1" applyBorder="1" applyAlignment="1">
      <alignment vertical="center" wrapText="1"/>
    </xf>
    <xf numFmtId="0" fontId="8" fillId="8" borderId="6" xfId="0" applyFont="1" applyFill="1" applyBorder="1" applyAlignment="1">
      <alignment vertical="center"/>
    </xf>
    <xf numFmtId="0" fontId="8" fillId="8" borderId="3" xfId="0" applyFont="1" applyFill="1" applyBorder="1" applyAlignment="1">
      <alignment vertical="center"/>
    </xf>
    <xf numFmtId="0" fontId="8" fillId="8" borderId="7" xfId="0" applyFont="1" applyFill="1" applyBorder="1" applyAlignment="1">
      <alignment vertical="center"/>
    </xf>
    <xf numFmtId="0" fontId="4" fillId="8" borderId="7" xfId="0" applyFont="1" applyFill="1" applyBorder="1" applyAlignment="1">
      <alignment vertical="center"/>
    </xf>
  </cellXfs>
  <cellStyles count="4">
    <cellStyle name="Comma" xfId="1" builtinId="3"/>
    <cellStyle name="Comma 2" xfId="2" xr:uid="{00000000-0005-0000-0000-000001000000}"/>
    <cellStyle name="Normal" xfId="0" builtinId="0"/>
    <cellStyle name="Normal 2 2" xfId="3" xr:uid="{00000000-0005-0000-0000-000003000000}"/>
  </cellStyles>
  <dxfs count="52">
    <dxf>
      <font>
        <strike val="0"/>
        <outline val="0"/>
        <shadow val="0"/>
        <u val="none"/>
        <vertAlign val="baseline"/>
        <name val="Cambri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Cambria"/>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0000"/>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color rgb="FFFF0000"/>
        <name val="Cambria"/>
        <scheme val="none"/>
      </font>
      <numFmt numFmtId="166" formatCode="_(* #,##0_);_(* \(#,##0\);_(* &quot;-&quot;??_);_(@_)"/>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numFmt numFmtId="166" formatCode="_(* #,##0_);_(* \(#,##0\);_(* &quot;-&quot;??_);_(@_)"/>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numFmt numFmtId="166"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6" formatCode="_(* #,##0_);_(* \(#,##0\);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numFmt numFmtId="166" formatCode="_(* #,##0_);_(* \(#,##0\);_(* &quot;-&quot;??_);_(@_)"/>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scheme val="none"/>
      </font>
      <numFmt numFmtId="166" formatCode="_(* #,##0_);_(* \(#,##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numFmt numFmtId="167" formatCode="_(* #,##0.0_);_(* \(#,##0.0\);_(* &quot;-&quot;??_);_(@_)"/>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textRotation="0" wrapTex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name val="Cambria"/>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mbria"/>
        <scheme val="none"/>
      </font>
      <alignment horizont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mbria"/>
        <scheme val="none"/>
      </font>
    </dxf>
    <dxf>
      <border>
        <bottom style="thin">
          <color indexed="64"/>
        </bottom>
      </border>
    </dxf>
    <dxf>
      <font>
        <b/>
        <i val="0"/>
        <strike val="0"/>
        <condense val="0"/>
        <extend val="0"/>
        <outline val="0"/>
        <shadow val="0"/>
        <u val="none"/>
        <vertAlign val="baseline"/>
        <sz val="10"/>
        <color theme="0"/>
        <name val="Cambria"/>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U327" totalsRowShown="0" headerRowDxfId="51" dataDxfId="49" headerRowBorderDxfId="50" tableBorderDxfId="48" totalsRowBorderDxfId="47">
  <autoFilter ref="A3:AU327" xr:uid="{00000000-0009-0000-0100-000001000000}"/>
  <tableColumns count="47">
    <tableColumn id="1" xr3:uid="{00000000-0010-0000-0000-000001000000}" name="STT" dataDxfId="46"/>
    <tableColumn id="2" xr3:uid="{00000000-0010-0000-0000-000002000000}" name="TÊN NGUYÊN VẬT LIỆU" dataDxfId="45"/>
    <tableColumn id="19" xr3:uid="{00000000-0010-0000-0000-000013000000}" name="TÊN KHÁC" dataDxfId="44"/>
    <tableColumn id="20" xr3:uid="{00000000-0010-0000-0000-000014000000}" name="INCI NAME" dataDxfId="43"/>
    <tableColumn id="3" xr3:uid="{00000000-0010-0000-0000-000003000000}" name="ĐVT" dataDxfId="42"/>
    <tableColumn id="4" xr3:uid="{00000000-0010-0000-0000-000004000000}" name="SỐ LƯỢNG " dataDxfId="41" dataCellStyle="Comma"/>
    <tableColumn id="5" xr3:uid="{00000000-0010-0000-0000-000005000000}" name="NGÀY HÓA ĐƠN" dataDxfId="40"/>
    <tableColumn id="6" xr3:uid="{00000000-0010-0000-0000-000006000000}" name="SỐ HÓA ĐƠN" dataDxfId="39"/>
    <tableColumn id="7" xr3:uid="{00000000-0010-0000-0000-000007000000}" name="QUY ĐỔI GRAM" dataDxfId="38" dataCellStyle="Comma">
      <calculatedColumnFormula>Table1[[#This Row],[SỐ LƯỢNG ]]*1000</calculatedColumnFormula>
    </tableColumn>
    <tableColumn id="21" xr3:uid="{00000000-0010-0000-0000-000015000000}" name="ĐƠN GIÁ /1 KG" dataDxfId="37" dataCellStyle="Comma"/>
    <tableColumn id="22" xr3:uid="{00000000-0010-0000-0000-000016000000}" name="THÀNH TIỀN" dataDxfId="36" dataCellStyle="Comma">
      <calculatedColumnFormula>Table1[[#This Row],[SỐ LƯỢNG ]]*Table1[[#This Row],[ĐƠN GIÁ /1 KG]]</calculatedColumnFormula>
    </tableColumn>
    <tableColumn id="8" xr3:uid="{00000000-0010-0000-0000-000008000000}" name="XK ĐỒNG TÂM" dataDxfId="35" dataCellStyle="Comma"/>
    <tableColumn id="9" xr3:uid="{00000000-0010-0000-0000-000009000000}" name="XK GIA KỲ (màu cánh hồng khô)" dataDxfId="34" dataCellStyle="Comma"/>
    <tableColumn id="10" xr3:uid="{00000000-0010-0000-0000-00000A000000}" name="XK GIA KỲ (màu hồng lavender)" dataDxfId="33" dataCellStyle="Comma"/>
    <tableColumn id="11" xr3:uid="{00000000-0010-0000-0000-00000B000000}" name="Xk GIA KỲ (màu đỏ dưa hấu)" dataDxfId="32" dataCellStyle="Comma"/>
    <tableColumn id="12" xr3:uid="{00000000-0010-0000-0000-00000C000000}" name="XK GIA KỲ_x000a_(màu hồng sữa dâu)" dataDxfId="31" dataCellStyle="Comma"/>
    <tableColumn id="13" xr3:uid="{00000000-0010-0000-0000-00000D000000}" name="XK GIA KỲ (hoa anh đào)" dataDxfId="30" dataCellStyle="Comma"/>
    <tableColumn id="14" xr3:uid="{00000000-0010-0000-0000-00000E000000}" name="XK  GIA KỲ (màu hồng ổi)" dataDxfId="29" dataCellStyle="Comma"/>
    <tableColumn id="26" xr3:uid="{00000000-0010-0000-0000-00001A000000}" name="XH HƯƠNG LINH" dataDxfId="28" dataCellStyle="Comma"/>
    <tableColumn id="27" xr3:uid="{00000000-0010-0000-0000-00001B000000}" name="XK TRAM  - Q1 - KEM BO DY" dataDxfId="27" dataCellStyle="Comma"/>
    <tableColumn id="28" xr3:uid="{00000000-0010-0000-0000-00001C000000}" name="XK TRAM  - Q1 - KCN" dataDxfId="26" dataCellStyle="Comma"/>
    <tableColumn id="29" xr3:uid="{00000000-0010-0000-0000-00001D000000}" name="XK ANH KHOA - Q11 - SERUM" dataDxfId="25" dataCellStyle="Comma"/>
    <tableColumn id="30" xr3:uid="{00000000-0010-0000-0000-00001E000000}" name="C.THÚY - KHL_x000a_(SRM)" dataDxfId="24" dataCellStyle="Comma"/>
    <tableColumn id="31" xr3:uid="{00000000-0010-0000-0000-00001F000000}" name="CHỊ TÚY - KHL (MASK)" dataDxfId="23" dataCellStyle="Comma"/>
    <tableColumn id="32" xr3:uid="{00000000-0010-0000-0000-000020000000}" name="CHỊ THÚY - KHL (KCN)" dataDxfId="22" dataCellStyle="Comma"/>
    <tableColumn id="33" xr3:uid="{00000000-0010-0000-0000-000021000000}" name="NGỌC - Q9 (TONER)" dataDxfId="21" dataCellStyle="Comma"/>
    <tableColumn id="34" xr3:uid="{00000000-0010-0000-0000-000022000000}" name="NGỌC - Q9 (KEM NÁM)" dataDxfId="20" dataCellStyle="Comma"/>
    <tableColumn id="35" xr3:uid="{00000000-0010-0000-0000-000023000000}" name="NGỌC - Q9 (KEM TRẮNG DA)" dataDxfId="19" dataCellStyle="Comma"/>
    <tableColumn id="36" xr3:uid="{00000000-0010-0000-0000-000024000000}" name="NGỌC - Q9 (KEM PHỤC HỒI)" dataDxfId="18" dataCellStyle="Comma"/>
    <tableColumn id="38" xr3:uid="{00000000-0010-0000-0000-000026000000}" name="XK DÌ HẰNG - VL - KEM MỤN" dataDxfId="17" dataCellStyle="Comma"/>
    <tableColumn id="39" xr3:uid="{00000000-0010-0000-0000-000027000000}" name="CHỊ THÚY - KHL (TẨY TRANG)" dataDxfId="16" dataCellStyle="Comma"/>
    <tableColumn id="41" xr3:uid="{00000000-0010-0000-0000-000029000000}" name="ANH HUY - Q11 (DẦU DƯỠNG 50ML)" dataDxfId="15" dataCellStyle="Comma"/>
    <tableColumn id="40" xr3:uid="{00000000-0010-0000-0000-000028000000}" name="ANH HUY - Q11 (DẦU DƯỠNG 100ML)" dataDxfId="14" dataCellStyle="Comma"/>
    <tableColumn id="49" xr3:uid="{00000000-0010-0000-0000-000031000000}" name="ANH HUY - Q11 (SEA SALT)" dataDxfId="13" dataCellStyle="Comma"/>
    <tableColumn id="48" xr3:uid="{00000000-0010-0000-0000-000030000000}" name="VITA (KEM FACE 50ML)" dataDxfId="12" dataCellStyle="Comma"/>
    <tableColumn id="42" xr3:uid="{00000000-0010-0000-0000-00002A000000}" name="VITA (KEM FACE 300ML)" dataDxfId="11" dataCellStyle="Comma"/>
    <tableColumn id="47" xr3:uid="{00000000-0010-0000-0000-00002F000000}" name="VITA (SERUM 100ML)" dataDxfId="10" dataCellStyle="Comma"/>
    <tableColumn id="43" xr3:uid="{00000000-0010-0000-0000-00002B000000}" name="VITA (SERUM 300ML)" dataDxfId="9" dataCellStyle="Comma"/>
    <tableColumn id="46" xr3:uid="{00000000-0010-0000-0000-00002E000000}" name="VITA (MASK)" dataDxfId="8" dataCellStyle="Comma"/>
    <tableColumn id="15" xr3:uid="{00000000-0010-0000-0000-00000F000000}" name="XK LSX 8" dataDxfId="7" dataCellStyle="Comma"/>
    <tableColumn id="16" xr3:uid="{00000000-0010-0000-0000-000010000000}" name="CÒN LẠI (gram)" dataDxfId="6">
      <calculatedColumnFormula>Table1[[#This Row],[QUY ĐỔI GRAM]]-SUM(Table1[[#This Row],[XK ĐỒNG TÂM]:[XK LSX 8]])</calculatedColumnFormula>
    </tableColumn>
    <tableColumn id="37" xr3:uid="{00000000-0010-0000-0000-000025000000}" name="GIÁ TRỊ TỒN KHO" dataDxfId="5">
      <calculatedColumnFormula>Table1[[#This Row],[CÒN LẠI (gram)]]*Table1[[#This Row],[ĐƠN GIÁ /1 KG]]/1000</calculatedColumnFormula>
    </tableColumn>
    <tableColumn id="17" xr3:uid="{00000000-0010-0000-0000-000011000000}" name="NHÀ CUNG CẤP" dataDxfId="4"/>
    <tableColumn id="18" xr3:uid="{00000000-0010-0000-0000-000012000000}" name="GHI CHÚ" dataDxfId="3"/>
    <tableColumn id="23" xr3:uid="{00000000-0010-0000-0000-000017000000}" name="LOT NO" dataDxfId="2"/>
    <tableColumn id="24" xr3:uid="{00000000-0010-0000-0000-000018000000}" name="NSX" dataDxfId="1"/>
    <tableColumn id="25" xr3:uid="{00000000-0010-0000-0000-000019000000}" name="HS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32"/>
  <sheetViews>
    <sheetView showGridLines="0" tabSelected="1" zoomScale="55" zoomScaleNormal="55" workbookViewId="0">
      <pane xSplit="2" ySplit="3" topLeftCell="C60" activePane="bottomRight" state="frozen"/>
      <selection pane="topRight" activeCell="C1" sqref="C1"/>
      <selection pane="bottomLeft" activeCell="A4" sqref="A4"/>
      <selection pane="bottomRight" activeCell="D15" sqref="D15"/>
    </sheetView>
  </sheetViews>
  <sheetFormatPr defaultRowHeight="14.5" x14ac:dyDescent="0.35"/>
  <cols>
    <col min="1" max="1" width="8" style="6" bestFit="1" customWidth="1"/>
    <col min="2" max="2" width="55" customWidth="1"/>
    <col min="3" max="3" width="42.26953125" bestFit="1" customWidth="1"/>
    <col min="4" max="4" width="63.08984375" style="12" bestFit="1" customWidth="1"/>
    <col min="5" max="5" width="8.36328125" bestFit="1" customWidth="1"/>
    <col min="6" max="6" width="15.08984375" bestFit="1" customWidth="1"/>
    <col min="7" max="7" width="17.453125" bestFit="1" customWidth="1"/>
    <col min="8" max="8" width="15.26953125" style="71" bestFit="1" customWidth="1"/>
    <col min="9" max="9" width="16.7265625" bestFit="1" customWidth="1"/>
    <col min="10" max="10" width="20.08984375" bestFit="1" customWidth="1"/>
    <col min="11" max="11" width="16.7265625" customWidth="1"/>
    <col min="12" max="12" width="11.453125" customWidth="1"/>
    <col min="13" max="13" width="10.90625" customWidth="1"/>
    <col min="14" max="18" width="11.90625" bestFit="1" customWidth="1"/>
    <col min="19" max="19" width="11.90625" customWidth="1"/>
    <col min="20" max="37" width="15.90625" customWidth="1"/>
    <col min="38" max="38" width="16.453125" customWidth="1"/>
    <col min="39" max="39" width="16.453125" style="32" customWidth="1"/>
    <col min="40" max="40" width="18.90625" style="32" customWidth="1"/>
    <col min="41" max="41" width="54.26953125" customWidth="1"/>
    <col min="42" max="42" width="15.08984375" customWidth="1"/>
    <col min="43" max="43" width="36.6328125" style="19" customWidth="1"/>
    <col min="44" max="45" width="14.08984375" bestFit="1" customWidth="1"/>
  </cols>
  <sheetData>
    <row r="1" spans="1:47" s="2" customFormat="1" ht="31.5" customHeight="1" x14ac:dyDescent="0.35">
      <c r="A1" s="1" t="s">
        <v>10</v>
      </c>
      <c r="B1" s="1"/>
      <c r="C1" s="1"/>
      <c r="D1" s="9"/>
      <c r="E1" s="1"/>
      <c r="F1" s="1"/>
      <c r="G1" s="1"/>
      <c r="H1" s="67"/>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30"/>
      <c r="AN1" s="30"/>
      <c r="AO1" s="1"/>
      <c r="AP1" s="1"/>
      <c r="AQ1" s="18"/>
    </row>
    <row r="2" spans="1:47" s="2" customFormat="1" ht="31.5" customHeight="1" x14ac:dyDescent="0.35">
      <c r="A2" s="1" t="s">
        <v>11</v>
      </c>
      <c r="B2" s="1"/>
      <c r="C2" s="1"/>
      <c r="D2" s="9"/>
      <c r="E2" s="1"/>
      <c r="F2" s="1"/>
      <c r="G2" s="1"/>
      <c r="H2" s="67"/>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30"/>
      <c r="AN2" s="30"/>
      <c r="AO2" s="1"/>
      <c r="AP2" s="1"/>
      <c r="AQ2" s="18"/>
    </row>
    <row r="3" spans="1:47" s="39" customFormat="1" ht="81.650000000000006" customHeight="1" x14ac:dyDescent="0.35">
      <c r="A3" s="35" t="s">
        <v>0</v>
      </c>
      <c r="B3" s="10" t="s">
        <v>1</v>
      </c>
      <c r="C3" s="10" t="s">
        <v>12</v>
      </c>
      <c r="D3" s="10" t="s">
        <v>13</v>
      </c>
      <c r="E3" s="10" t="s">
        <v>2</v>
      </c>
      <c r="F3" s="36" t="s">
        <v>3</v>
      </c>
      <c r="G3" s="10" t="s">
        <v>4</v>
      </c>
      <c r="H3" s="68" t="s">
        <v>5</v>
      </c>
      <c r="I3" s="10" t="s">
        <v>6</v>
      </c>
      <c r="J3" s="10" t="s">
        <v>102</v>
      </c>
      <c r="K3" s="10" t="s">
        <v>101</v>
      </c>
      <c r="L3" s="10" t="s">
        <v>203</v>
      </c>
      <c r="M3" s="10" t="s">
        <v>221</v>
      </c>
      <c r="N3" s="10" t="s">
        <v>222</v>
      </c>
      <c r="O3" s="10" t="s">
        <v>223</v>
      </c>
      <c r="P3" s="10" t="s">
        <v>224</v>
      </c>
      <c r="Q3" s="10" t="s">
        <v>225</v>
      </c>
      <c r="R3" s="10" t="s">
        <v>226</v>
      </c>
      <c r="S3" s="10" t="s">
        <v>240</v>
      </c>
      <c r="T3" s="10" t="s">
        <v>241</v>
      </c>
      <c r="U3" s="10" t="s">
        <v>242</v>
      </c>
      <c r="V3" s="10" t="s">
        <v>243</v>
      </c>
      <c r="W3" s="10" t="s">
        <v>246</v>
      </c>
      <c r="X3" s="10" t="s">
        <v>247</v>
      </c>
      <c r="Y3" s="10" t="s">
        <v>248</v>
      </c>
      <c r="Z3" s="10" t="s">
        <v>249</v>
      </c>
      <c r="AA3" s="10" t="s">
        <v>250</v>
      </c>
      <c r="AB3" s="10" t="s">
        <v>251</v>
      </c>
      <c r="AC3" s="10" t="s">
        <v>252</v>
      </c>
      <c r="AD3" s="10" t="s">
        <v>457</v>
      </c>
      <c r="AE3" s="10" t="s">
        <v>484</v>
      </c>
      <c r="AF3" s="10" t="s">
        <v>485</v>
      </c>
      <c r="AG3" s="10" t="s">
        <v>486</v>
      </c>
      <c r="AH3" s="10" t="s">
        <v>555</v>
      </c>
      <c r="AI3" s="10" t="s">
        <v>567</v>
      </c>
      <c r="AJ3" s="10" t="s">
        <v>566</v>
      </c>
      <c r="AK3" s="10" t="s">
        <v>569</v>
      </c>
      <c r="AL3" s="10" t="s">
        <v>568</v>
      </c>
      <c r="AM3" s="10" t="s">
        <v>554</v>
      </c>
      <c r="AN3" s="10" t="s">
        <v>7</v>
      </c>
      <c r="AO3" s="37" t="s">
        <v>227</v>
      </c>
      <c r="AP3" s="37" t="s">
        <v>253</v>
      </c>
      <c r="AQ3" s="10" t="s">
        <v>8</v>
      </c>
      <c r="AR3" s="38" t="s">
        <v>9</v>
      </c>
      <c r="AS3" s="10" t="s">
        <v>105</v>
      </c>
      <c r="AT3" s="10" t="s">
        <v>122</v>
      </c>
      <c r="AU3" s="10" t="s">
        <v>123</v>
      </c>
    </row>
    <row r="4" spans="1:47" s="4" customFormat="1" ht="24" customHeight="1" x14ac:dyDescent="0.35">
      <c r="A4" s="5">
        <v>1</v>
      </c>
      <c r="B4" s="13" t="s">
        <v>35</v>
      </c>
      <c r="C4" s="3" t="s">
        <v>15</v>
      </c>
      <c r="D4" s="8" t="s">
        <v>14</v>
      </c>
      <c r="E4" s="15" t="s">
        <v>17</v>
      </c>
      <c r="F4" s="23">
        <v>5</v>
      </c>
      <c r="G4" s="7">
        <v>45848</v>
      </c>
      <c r="H4" s="26">
        <v>367</v>
      </c>
      <c r="I4" s="16">
        <f>Table1[[#This Row],[SỐ LƯỢNG ]]*1000</f>
        <v>5000</v>
      </c>
      <c r="J4" s="16">
        <v>2100000</v>
      </c>
      <c r="K4" s="16">
        <f>Table1[[#This Row],[SỐ LƯỢNG ]]*Table1[[#This Row],[ĐƠN GIÁ /1 KG]]</f>
        <v>10500000</v>
      </c>
      <c r="L4" s="16"/>
      <c r="M4" s="16"/>
      <c r="N4" s="16"/>
      <c r="O4" s="16"/>
      <c r="P4" s="16"/>
      <c r="Q4" s="16"/>
      <c r="R4" s="16"/>
      <c r="S4" s="16"/>
      <c r="T4" s="16"/>
      <c r="U4" s="16">
        <v>300</v>
      </c>
      <c r="V4" s="16"/>
      <c r="W4" s="16"/>
      <c r="X4" s="16"/>
      <c r="Y4" s="16">
        <v>2009</v>
      </c>
      <c r="Z4" s="16"/>
      <c r="AA4" s="16"/>
      <c r="AB4" s="16"/>
      <c r="AC4" s="16"/>
      <c r="AD4" s="16"/>
      <c r="AE4" s="16"/>
      <c r="AF4" s="16"/>
      <c r="AG4" s="16"/>
      <c r="AH4" s="16"/>
      <c r="AI4" s="16"/>
      <c r="AJ4" s="16"/>
      <c r="AK4" s="16"/>
      <c r="AL4" s="16"/>
      <c r="AM4" s="16"/>
      <c r="AN4" s="16"/>
      <c r="AO4" s="31">
        <f>Table1[[#This Row],[QUY ĐỔI GRAM]]-SUM(Table1[[#This Row],[XK ĐỒNG TÂM]:[XK LSX 8]])</f>
        <v>2691</v>
      </c>
      <c r="AP4" s="64">
        <f>Table1[[#This Row],[CÒN LẠI (gram)]]*Table1[[#This Row],[ĐƠN GIÁ /1 KG]]/1000</f>
        <v>5651100</v>
      </c>
      <c r="AQ4" s="40" t="s">
        <v>19</v>
      </c>
      <c r="AR4" s="3" t="s">
        <v>103</v>
      </c>
      <c r="AS4" s="20">
        <v>192401020</v>
      </c>
      <c r="AT4" s="7">
        <v>45529</v>
      </c>
      <c r="AU4" s="7">
        <v>46259</v>
      </c>
    </row>
    <row r="5" spans="1:47" s="4" customFormat="1" ht="24" customHeight="1" x14ac:dyDescent="0.35">
      <c r="A5" s="5">
        <v>2</v>
      </c>
      <c r="B5" s="13" t="s">
        <v>16</v>
      </c>
      <c r="C5" s="3"/>
      <c r="D5" s="8" t="s">
        <v>410</v>
      </c>
      <c r="E5" s="15" t="s">
        <v>17</v>
      </c>
      <c r="F5" s="23">
        <v>2</v>
      </c>
      <c r="G5" s="7">
        <v>45859</v>
      </c>
      <c r="H5" s="26">
        <v>4895</v>
      </c>
      <c r="I5" s="16">
        <f>Table1[[#This Row],[SỐ LƯỢNG ]]*1000</f>
        <v>2000</v>
      </c>
      <c r="J5" s="16">
        <v>921296.29</v>
      </c>
      <c r="K5" s="16">
        <f>Table1[[#This Row],[SỐ LƯỢNG ]]*Table1[[#This Row],[ĐƠN GIÁ /1 KG]]</f>
        <v>1842592.58</v>
      </c>
      <c r="L5" s="16"/>
      <c r="M5" s="16"/>
      <c r="N5" s="16"/>
      <c r="O5" s="16"/>
      <c r="P5" s="16"/>
      <c r="Q5" s="16"/>
      <c r="R5" s="16"/>
      <c r="S5" s="16"/>
      <c r="T5" s="16">
        <v>200</v>
      </c>
      <c r="U5" s="16"/>
      <c r="V5" s="16"/>
      <c r="W5" s="16"/>
      <c r="X5" s="16"/>
      <c r="Y5" s="16"/>
      <c r="Z5" s="16"/>
      <c r="AA5" s="16"/>
      <c r="AB5" s="16"/>
      <c r="AC5" s="16"/>
      <c r="AD5" s="16">
        <v>75</v>
      </c>
      <c r="AE5" s="16"/>
      <c r="AF5" s="16"/>
      <c r="AG5" s="16"/>
      <c r="AH5" s="16"/>
      <c r="AI5" s="16"/>
      <c r="AJ5" s="16"/>
      <c r="AK5" s="16"/>
      <c r="AL5" s="16"/>
      <c r="AM5" s="16"/>
      <c r="AN5" s="16"/>
      <c r="AO5" s="31">
        <f>Table1[[#This Row],[QUY ĐỔI GRAM]]-SUM(Table1[[#This Row],[XK ĐỒNG TÂM]:[XK LSX 8]])</f>
        <v>1725</v>
      </c>
      <c r="AP5" s="31">
        <f>Table1[[#This Row],[CÒN LẠI (gram)]]*Table1[[#This Row],[ĐƠN GIÁ /1 KG]]/1000</f>
        <v>1589236.1002499999</v>
      </c>
      <c r="AQ5" s="3" t="s">
        <v>18</v>
      </c>
      <c r="AR5" s="3" t="s">
        <v>103</v>
      </c>
      <c r="AS5" s="20" t="s">
        <v>113</v>
      </c>
      <c r="AT5" s="7">
        <v>45660</v>
      </c>
      <c r="AU5" s="7">
        <v>46390</v>
      </c>
    </row>
    <row r="6" spans="1:47" s="4" customFormat="1" ht="24" customHeight="1" x14ac:dyDescent="0.3">
      <c r="A6" s="5">
        <v>3</v>
      </c>
      <c r="B6" s="13" t="s">
        <v>41</v>
      </c>
      <c r="C6" s="3"/>
      <c r="D6" s="8" t="s">
        <v>411</v>
      </c>
      <c r="E6" s="15" t="s">
        <v>17</v>
      </c>
      <c r="F6" s="23">
        <v>0.3</v>
      </c>
      <c r="G6" s="7">
        <v>45868</v>
      </c>
      <c r="H6" s="26">
        <v>2542</v>
      </c>
      <c r="I6" s="16">
        <f>Table1[[#This Row],[SỐ LƯỢNG ]]*1000</f>
        <v>300</v>
      </c>
      <c r="J6" s="16">
        <v>4800000</v>
      </c>
      <c r="K6" s="16">
        <f>Table1[[#This Row],[SỐ LƯỢNG ]]*Table1[[#This Row],[ĐƠN GIÁ /1 KG]]</f>
        <v>1440000</v>
      </c>
      <c r="L6" s="16"/>
      <c r="M6" s="16"/>
      <c r="N6" s="16"/>
      <c r="O6" s="16"/>
      <c r="P6" s="16"/>
      <c r="Q6" s="16"/>
      <c r="R6" s="16"/>
      <c r="S6" s="16"/>
      <c r="T6" s="16"/>
      <c r="U6" s="16"/>
      <c r="V6" s="16"/>
      <c r="W6" s="16"/>
      <c r="X6" s="16"/>
      <c r="Y6" s="16"/>
      <c r="Z6" s="62">
        <v>150</v>
      </c>
      <c r="AA6" s="62"/>
      <c r="AB6" s="62"/>
      <c r="AC6" s="62"/>
      <c r="AD6" s="62"/>
      <c r="AE6" s="62"/>
      <c r="AF6" s="62"/>
      <c r="AG6" s="62"/>
      <c r="AH6" s="62"/>
      <c r="AI6" s="62"/>
      <c r="AJ6" s="62"/>
      <c r="AK6" s="62"/>
      <c r="AL6" s="62"/>
      <c r="AM6" s="62"/>
      <c r="AN6" s="16"/>
      <c r="AO6" s="31">
        <f>Table1[[#This Row],[QUY ĐỔI GRAM]]-SUM(Table1[[#This Row],[XK ĐỒNG TÂM]:[XK LSX 8]])</f>
        <v>150</v>
      </c>
      <c r="AP6" s="31">
        <f>Table1[[#This Row],[CÒN LẠI (gram)]]*Table1[[#This Row],[ĐƠN GIÁ /1 KG]]/1000</f>
        <v>720000</v>
      </c>
      <c r="AQ6" s="3" t="s">
        <v>20</v>
      </c>
      <c r="AR6" s="3" t="s">
        <v>103</v>
      </c>
      <c r="AS6" s="20" t="s">
        <v>114</v>
      </c>
      <c r="AT6" s="7">
        <v>45601</v>
      </c>
      <c r="AU6" s="7">
        <v>46695</v>
      </c>
    </row>
    <row r="7" spans="1:47" s="4" customFormat="1" ht="30" x14ac:dyDescent="0.35">
      <c r="A7" s="5">
        <v>4</v>
      </c>
      <c r="B7" s="14" t="s">
        <v>36</v>
      </c>
      <c r="C7" s="3"/>
      <c r="D7" s="11" t="s">
        <v>21</v>
      </c>
      <c r="E7" s="15" t="s">
        <v>17</v>
      </c>
      <c r="F7" s="23">
        <v>2</v>
      </c>
      <c r="G7" s="7">
        <v>45890</v>
      </c>
      <c r="H7" s="26">
        <v>550</v>
      </c>
      <c r="I7" s="16">
        <f>Table1[[#This Row],[SỐ LƯỢNG ]]*1000</f>
        <v>2000</v>
      </c>
      <c r="J7" s="16">
        <v>2500000</v>
      </c>
      <c r="K7" s="16">
        <f>Table1[[#This Row],[SỐ LƯỢNG ]]*Table1[[#This Row],[ĐƠN GIÁ /1 KG]]</f>
        <v>5000000</v>
      </c>
      <c r="L7" s="16"/>
      <c r="M7" s="16"/>
      <c r="N7" s="16"/>
      <c r="O7" s="16"/>
      <c r="P7" s="16"/>
      <c r="Q7" s="16"/>
      <c r="R7" s="16"/>
      <c r="S7" s="16"/>
      <c r="T7" s="16"/>
      <c r="U7" s="16"/>
      <c r="V7" s="16"/>
      <c r="W7" s="16"/>
      <c r="X7" s="16"/>
      <c r="Y7" s="16">
        <v>2000</v>
      </c>
      <c r="Z7" s="16"/>
      <c r="AA7" s="16"/>
      <c r="AB7" s="16"/>
      <c r="AC7" s="16"/>
      <c r="AD7" s="16"/>
      <c r="AE7" s="16"/>
      <c r="AF7" s="16"/>
      <c r="AG7" s="16"/>
      <c r="AH7" s="16"/>
      <c r="AI7" s="16"/>
      <c r="AJ7" s="16"/>
      <c r="AK7" s="16"/>
      <c r="AL7" s="16"/>
      <c r="AM7" s="16"/>
      <c r="AN7" s="16"/>
      <c r="AO7" s="31">
        <f>Table1[[#This Row],[QUY ĐỔI GRAM]]-SUM(Table1[[#This Row],[XK ĐỒNG TÂM]:[XK LSX 8]])</f>
        <v>0</v>
      </c>
      <c r="AP7" s="31">
        <f>Table1[[#This Row],[CÒN LẠI (gram)]]*Table1[[#This Row],[ĐƠN GIÁ /1 KG]]/1000</f>
        <v>0</v>
      </c>
      <c r="AQ7" s="3" t="s">
        <v>22</v>
      </c>
      <c r="AR7" s="3" t="s">
        <v>103</v>
      </c>
      <c r="AS7" s="21" t="s">
        <v>115</v>
      </c>
      <c r="AT7" s="7">
        <v>45469</v>
      </c>
      <c r="AU7" s="7">
        <v>46199</v>
      </c>
    </row>
    <row r="8" spans="1:47" s="4" customFormat="1" ht="24" customHeight="1" x14ac:dyDescent="0.35">
      <c r="A8" s="5">
        <v>5</v>
      </c>
      <c r="B8" s="3" t="s">
        <v>23</v>
      </c>
      <c r="C8" s="3"/>
      <c r="D8" s="8"/>
      <c r="E8" s="15" t="s">
        <v>24</v>
      </c>
      <c r="F8" s="23">
        <v>2009</v>
      </c>
      <c r="G8" s="7">
        <v>45882</v>
      </c>
      <c r="H8" s="26">
        <v>761</v>
      </c>
      <c r="I8" s="16"/>
      <c r="J8" s="16">
        <v>3200</v>
      </c>
      <c r="K8" s="16">
        <f>Table1[[#This Row],[SỐ LƯỢNG ]]*Table1[[#This Row],[ĐƠN GIÁ /1 KG]]</f>
        <v>6428800</v>
      </c>
      <c r="L8" s="16"/>
      <c r="M8" s="16"/>
      <c r="N8" s="16"/>
      <c r="O8" s="16"/>
      <c r="P8" s="16"/>
      <c r="Q8" s="16"/>
      <c r="R8" s="16"/>
      <c r="S8" s="16"/>
      <c r="T8" s="16"/>
      <c r="U8" s="16"/>
      <c r="V8" s="16"/>
      <c r="W8" s="16"/>
      <c r="X8" s="16"/>
      <c r="Y8" s="16">
        <v>2009</v>
      </c>
      <c r="Z8" s="16"/>
      <c r="AA8" s="16"/>
      <c r="AB8" s="16"/>
      <c r="AC8" s="16"/>
      <c r="AD8" s="16"/>
      <c r="AE8" s="16"/>
      <c r="AF8" s="16"/>
      <c r="AG8" s="16"/>
      <c r="AH8" s="16"/>
      <c r="AI8" s="16"/>
      <c r="AJ8" s="16"/>
      <c r="AK8" s="16"/>
      <c r="AL8" s="16"/>
      <c r="AM8" s="16"/>
      <c r="AN8" s="16"/>
      <c r="AO8" s="51">
        <f>Table1[[#This Row],[SỐ LƯỢNG ]]-SUM(Table1[[#This Row],[XK ĐỒNG TÂM]:[XK LSX 8]])</f>
        <v>0</v>
      </c>
      <c r="AP8" s="51">
        <f>Table1[[#This Row],[CÒN LẠI (gram)]]*Table1[[#This Row],[ĐƠN GIÁ /1 KG]]</f>
        <v>0</v>
      </c>
      <c r="AQ8" s="3" t="s">
        <v>25</v>
      </c>
      <c r="AR8" s="3"/>
      <c r="AS8" s="20"/>
      <c r="AT8" s="3"/>
      <c r="AU8" s="3"/>
    </row>
    <row r="9" spans="1:47" s="4" customFormat="1" ht="24" customHeight="1" x14ac:dyDescent="0.35">
      <c r="A9" s="5">
        <v>6</v>
      </c>
      <c r="B9" s="3" t="s">
        <v>26</v>
      </c>
      <c r="C9" s="3"/>
      <c r="D9" s="8"/>
      <c r="E9" s="15" t="s">
        <v>24</v>
      </c>
      <c r="F9" s="23">
        <v>2000</v>
      </c>
      <c r="G9" s="7">
        <v>45882</v>
      </c>
      <c r="H9" s="26">
        <v>761</v>
      </c>
      <c r="I9" s="16"/>
      <c r="J9" s="16">
        <v>4200</v>
      </c>
      <c r="K9" s="16">
        <f>Table1[[#This Row],[SỐ LƯỢNG ]]*Table1[[#This Row],[ĐƠN GIÁ /1 KG]]</f>
        <v>8400000</v>
      </c>
      <c r="L9" s="16"/>
      <c r="M9" s="16"/>
      <c r="N9" s="16"/>
      <c r="O9" s="16"/>
      <c r="P9" s="16"/>
      <c r="Q9" s="16"/>
      <c r="R9" s="16"/>
      <c r="S9" s="16"/>
      <c r="T9" s="16"/>
      <c r="U9" s="16"/>
      <c r="V9" s="16"/>
      <c r="W9" s="16"/>
      <c r="X9" s="23">
        <v>2000</v>
      </c>
      <c r="Y9" s="16"/>
      <c r="Z9" s="16"/>
      <c r="AA9" s="16"/>
      <c r="AB9" s="16"/>
      <c r="AC9" s="16"/>
      <c r="AD9" s="16"/>
      <c r="AE9" s="16"/>
      <c r="AF9" s="16"/>
      <c r="AG9" s="16"/>
      <c r="AH9" s="16"/>
      <c r="AI9" s="16"/>
      <c r="AJ9" s="16"/>
      <c r="AK9" s="16"/>
      <c r="AL9" s="16"/>
      <c r="AM9" s="16"/>
      <c r="AN9" s="16"/>
      <c r="AO9" s="51">
        <f>Table1[[#This Row],[SỐ LƯỢNG ]]-SUM(Table1[[#This Row],[XK ĐỒNG TÂM]:[XK LSX 8]])</f>
        <v>0</v>
      </c>
      <c r="AP9" s="51">
        <f>Table1[[#This Row],[CÒN LẠI (gram)]]*Table1[[#This Row],[ĐƠN GIÁ /1 KG]]</f>
        <v>0</v>
      </c>
      <c r="AQ9" s="3" t="s">
        <v>25</v>
      </c>
      <c r="AR9" s="3"/>
      <c r="AS9" s="20"/>
      <c r="AT9" s="3"/>
      <c r="AU9" s="3"/>
    </row>
    <row r="10" spans="1:47" s="4" customFormat="1" ht="24" customHeight="1" x14ac:dyDescent="0.35">
      <c r="A10" s="5">
        <v>7</v>
      </c>
      <c r="B10" s="3" t="s">
        <v>27</v>
      </c>
      <c r="C10" s="3"/>
      <c r="D10" s="8"/>
      <c r="E10" s="15" t="s">
        <v>24</v>
      </c>
      <c r="F10" s="23">
        <v>2006</v>
      </c>
      <c r="G10" s="7">
        <v>45882</v>
      </c>
      <c r="H10" s="26">
        <v>761</v>
      </c>
      <c r="I10" s="16"/>
      <c r="J10" s="16">
        <v>3200</v>
      </c>
      <c r="K10" s="16">
        <f>Table1[[#This Row],[SỐ LƯỢNG ]]*Table1[[#This Row],[ĐƠN GIÁ /1 KG]]</f>
        <v>6419200</v>
      </c>
      <c r="L10" s="16"/>
      <c r="M10" s="16"/>
      <c r="N10" s="16"/>
      <c r="O10" s="16"/>
      <c r="P10" s="16"/>
      <c r="Q10" s="16"/>
      <c r="R10" s="16"/>
      <c r="S10" s="16"/>
      <c r="T10" s="16"/>
      <c r="U10" s="16"/>
      <c r="V10" s="16"/>
      <c r="W10" s="23">
        <v>2006</v>
      </c>
      <c r="X10" s="16"/>
      <c r="Y10" s="16"/>
      <c r="Z10" s="16"/>
      <c r="AA10" s="16"/>
      <c r="AB10" s="16"/>
      <c r="AC10" s="16"/>
      <c r="AD10" s="16"/>
      <c r="AE10" s="16"/>
      <c r="AF10" s="16"/>
      <c r="AG10" s="16"/>
      <c r="AH10" s="16"/>
      <c r="AI10" s="16"/>
      <c r="AJ10" s="16"/>
      <c r="AK10" s="16"/>
      <c r="AL10" s="16"/>
      <c r="AM10" s="16"/>
      <c r="AN10" s="16"/>
      <c r="AO10" s="51">
        <f>Table1[[#This Row],[SỐ LƯỢNG ]]-SUM(Table1[[#This Row],[XK ĐỒNG TÂM]:[XK LSX 8]])</f>
        <v>0</v>
      </c>
      <c r="AP10" s="51">
        <f>Table1[[#This Row],[CÒN LẠI (gram)]]*Table1[[#This Row],[ĐƠN GIÁ /1 KG]]</f>
        <v>0</v>
      </c>
      <c r="AQ10" s="3" t="s">
        <v>25</v>
      </c>
      <c r="AR10" s="3"/>
      <c r="AS10" s="20"/>
      <c r="AT10" s="3"/>
      <c r="AU10" s="3"/>
    </row>
    <row r="11" spans="1:47" s="4" customFormat="1" ht="30" x14ac:dyDescent="0.35">
      <c r="A11" s="5">
        <v>8</v>
      </c>
      <c r="B11" s="13" t="s">
        <v>34</v>
      </c>
      <c r="C11" s="3"/>
      <c r="D11" s="11" t="s">
        <v>100</v>
      </c>
      <c r="E11" s="15" t="s">
        <v>17</v>
      </c>
      <c r="F11" s="23">
        <v>20</v>
      </c>
      <c r="G11" s="7">
        <v>45896</v>
      </c>
      <c r="H11" s="26">
        <v>2056</v>
      </c>
      <c r="I11" s="16">
        <f>Table1[[#This Row],[SỐ LƯỢNG ]]*1000</f>
        <v>20000</v>
      </c>
      <c r="J11" s="16">
        <v>609960</v>
      </c>
      <c r="K11" s="16">
        <f>Table1[[#This Row],[SỐ LƯỢNG ]]*Table1[[#This Row],[ĐƠN GIÁ /1 KG]]</f>
        <v>12199200</v>
      </c>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31">
        <f>Table1[[#This Row],[QUY ĐỔI GRAM]]-SUM(Table1[[#This Row],[XK ĐỒNG TÂM]:[XK LSX 8]])</f>
        <v>20000</v>
      </c>
      <c r="AP11" s="31">
        <f>Table1[[#This Row],[CÒN LẠI (gram)]]*Table1[[#This Row],[ĐƠN GIÁ /1 KG]]/1000</f>
        <v>12199200</v>
      </c>
      <c r="AQ11" s="3" t="s">
        <v>28</v>
      </c>
      <c r="AR11" s="3" t="s">
        <v>103</v>
      </c>
      <c r="AS11" s="20" t="s">
        <v>116</v>
      </c>
      <c r="AT11" s="7">
        <v>45768</v>
      </c>
      <c r="AU11" s="7">
        <v>47593</v>
      </c>
    </row>
    <row r="12" spans="1:47" s="4" customFormat="1" ht="24" customHeight="1" x14ac:dyDescent="0.35">
      <c r="A12" s="5">
        <v>9</v>
      </c>
      <c r="B12" s="3" t="s">
        <v>29</v>
      </c>
      <c r="C12" s="3"/>
      <c r="D12" s="8"/>
      <c r="E12" s="15" t="s">
        <v>24</v>
      </c>
      <c r="F12" s="23">
        <v>1000</v>
      </c>
      <c r="G12" s="7">
        <v>45884</v>
      </c>
      <c r="H12" s="26">
        <v>9846</v>
      </c>
      <c r="I12" s="16"/>
      <c r="J12" s="16">
        <v>470</v>
      </c>
      <c r="K12" s="16">
        <f>Table1[[#This Row],[SỐ LƯỢNG ]]*Table1[[#This Row],[ĐƠN GIÁ /1 KG]]</f>
        <v>470000</v>
      </c>
      <c r="L12" s="16"/>
      <c r="M12" s="16"/>
      <c r="N12" s="16"/>
      <c r="O12" s="16"/>
      <c r="P12" s="16"/>
      <c r="Q12" s="16"/>
      <c r="R12" s="16"/>
      <c r="S12" s="16"/>
      <c r="T12" s="16"/>
      <c r="U12" s="16"/>
      <c r="V12" s="16"/>
      <c r="W12" s="16"/>
      <c r="X12" s="16"/>
      <c r="Y12" s="16"/>
      <c r="Z12" s="16"/>
      <c r="AA12" s="16"/>
      <c r="AB12" s="16">
        <v>1000</v>
      </c>
      <c r="AC12" s="16"/>
      <c r="AD12" s="16"/>
      <c r="AE12" s="16"/>
      <c r="AF12" s="16"/>
      <c r="AG12" s="16"/>
      <c r="AH12" s="16"/>
      <c r="AI12" s="16"/>
      <c r="AJ12" s="16"/>
      <c r="AK12" s="16"/>
      <c r="AL12" s="16"/>
      <c r="AM12" s="16"/>
      <c r="AN12" s="16"/>
      <c r="AO12" s="51">
        <f>Table1[[#This Row],[SỐ LƯỢNG ]]-SUM(Table1[[#This Row],[XK ĐỒNG TÂM]:[XK LSX 8]])</f>
        <v>0</v>
      </c>
      <c r="AP12" s="51">
        <f>Table1[[#This Row],[CÒN LẠI (gram)]]*Table1[[#This Row],[ĐƠN GIÁ /1 KG]]</f>
        <v>0</v>
      </c>
      <c r="AQ12" s="3" t="s">
        <v>33</v>
      </c>
      <c r="AR12" s="3"/>
      <c r="AS12" s="20"/>
      <c r="AT12" s="3"/>
      <c r="AU12" s="3"/>
    </row>
    <row r="13" spans="1:47" s="4" customFormat="1" ht="24" customHeight="1" x14ac:dyDescent="0.35">
      <c r="A13" s="5">
        <v>10</v>
      </c>
      <c r="B13" s="3" t="s">
        <v>30</v>
      </c>
      <c r="C13" s="3"/>
      <c r="D13" s="8"/>
      <c r="E13" s="15" t="s">
        <v>24</v>
      </c>
      <c r="F13" s="23">
        <v>1000</v>
      </c>
      <c r="G13" s="7">
        <v>45884</v>
      </c>
      <c r="H13" s="26">
        <v>9846</v>
      </c>
      <c r="I13" s="16"/>
      <c r="J13" s="16">
        <v>500</v>
      </c>
      <c r="K13" s="16">
        <f>Table1[[#This Row],[SỐ LƯỢNG ]]*Table1[[#This Row],[ĐƠN GIÁ /1 KG]]</f>
        <v>500000</v>
      </c>
      <c r="L13" s="16"/>
      <c r="M13" s="16"/>
      <c r="N13" s="16"/>
      <c r="O13" s="16"/>
      <c r="P13" s="16"/>
      <c r="Q13" s="16"/>
      <c r="R13" s="16"/>
      <c r="S13" s="16"/>
      <c r="T13" s="16"/>
      <c r="U13" s="16"/>
      <c r="V13" s="16"/>
      <c r="W13" s="16"/>
      <c r="X13" s="16"/>
      <c r="Y13" s="16"/>
      <c r="Z13" s="16"/>
      <c r="AA13" s="16">
        <v>1000</v>
      </c>
      <c r="AB13" s="16"/>
      <c r="AC13" s="16"/>
      <c r="AD13" s="16"/>
      <c r="AE13" s="16"/>
      <c r="AF13" s="16"/>
      <c r="AG13" s="16"/>
      <c r="AH13" s="16"/>
      <c r="AI13" s="16"/>
      <c r="AJ13" s="16"/>
      <c r="AK13" s="16"/>
      <c r="AL13" s="16"/>
      <c r="AM13" s="16"/>
      <c r="AN13" s="16"/>
      <c r="AO13" s="51">
        <f>Table1[[#This Row],[SỐ LƯỢNG ]]-SUM(Table1[[#This Row],[XK ĐỒNG TÂM]:[XK LSX 8]])</f>
        <v>0</v>
      </c>
      <c r="AP13" s="51">
        <f>Table1[[#This Row],[CÒN LẠI (gram)]]*Table1[[#This Row],[ĐƠN GIÁ /1 KG]]</f>
        <v>0</v>
      </c>
      <c r="AQ13" s="3" t="s">
        <v>33</v>
      </c>
      <c r="AR13" s="3"/>
      <c r="AS13" s="20"/>
      <c r="AT13" s="3"/>
      <c r="AU13" s="3"/>
    </row>
    <row r="14" spans="1:47" s="4" customFormat="1" ht="24" customHeight="1" x14ac:dyDescent="0.35">
      <c r="A14" s="5">
        <v>11</v>
      </c>
      <c r="B14" s="3" t="s">
        <v>31</v>
      </c>
      <c r="C14" s="3"/>
      <c r="D14" s="8"/>
      <c r="E14" s="15" t="s">
        <v>24</v>
      </c>
      <c r="F14" s="23">
        <v>2000</v>
      </c>
      <c r="G14" s="7">
        <v>45884</v>
      </c>
      <c r="H14" s="26">
        <v>9846</v>
      </c>
      <c r="I14" s="16"/>
      <c r="J14" s="16">
        <v>325</v>
      </c>
      <c r="K14" s="16">
        <f>Table1[[#This Row],[SỐ LƯỢNG ]]*Table1[[#This Row],[ĐƠN GIÁ /1 KG]]</f>
        <v>650000</v>
      </c>
      <c r="L14" s="16"/>
      <c r="M14" s="16"/>
      <c r="N14" s="16"/>
      <c r="O14" s="16"/>
      <c r="P14" s="16"/>
      <c r="Q14" s="16"/>
      <c r="R14" s="16"/>
      <c r="S14" s="16"/>
      <c r="T14" s="16"/>
      <c r="U14" s="16"/>
      <c r="V14" s="16"/>
      <c r="W14" s="16"/>
      <c r="X14" s="16"/>
      <c r="Y14" s="16"/>
      <c r="Z14" s="16">
        <v>2000</v>
      </c>
      <c r="AA14" s="16"/>
      <c r="AB14" s="16"/>
      <c r="AC14" s="16"/>
      <c r="AD14" s="16"/>
      <c r="AE14" s="16"/>
      <c r="AF14" s="16"/>
      <c r="AG14" s="16"/>
      <c r="AH14" s="16"/>
      <c r="AI14" s="16"/>
      <c r="AJ14" s="16"/>
      <c r="AK14" s="16"/>
      <c r="AL14" s="16"/>
      <c r="AM14" s="16"/>
      <c r="AN14" s="16"/>
      <c r="AO14" s="51">
        <f>Table1[[#This Row],[SỐ LƯỢNG ]]-SUM(Table1[[#This Row],[XK ĐỒNG TÂM]:[XK LSX 8]])</f>
        <v>0</v>
      </c>
      <c r="AP14" s="51">
        <f>Table1[[#This Row],[CÒN LẠI (gram)]]*Table1[[#This Row],[ĐƠN GIÁ /1 KG]]</f>
        <v>0</v>
      </c>
      <c r="AQ14" s="3" t="s">
        <v>33</v>
      </c>
      <c r="AR14" s="3"/>
      <c r="AS14" s="20"/>
      <c r="AT14" s="3"/>
      <c r="AU14" s="3"/>
    </row>
    <row r="15" spans="1:47" s="4" customFormat="1" ht="24" customHeight="1" x14ac:dyDescent="0.35">
      <c r="A15" s="5">
        <v>12</v>
      </c>
      <c r="B15" s="3" t="s">
        <v>32</v>
      </c>
      <c r="C15" s="3"/>
      <c r="D15" s="8"/>
      <c r="E15" s="15" t="s">
        <v>24</v>
      </c>
      <c r="F15" s="23">
        <v>1000</v>
      </c>
      <c r="G15" s="7">
        <v>45884</v>
      </c>
      <c r="H15" s="26">
        <v>9846</v>
      </c>
      <c r="I15" s="16"/>
      <c r="J15" s="16">
        <v>470</v>
      </c>
      <c r="K15" s="16">
        <f>Table1[[#This Row],[SỐ LƯỢNG ]]*Table1[[#This Row],[ĐƠN GIÁ /1 KG]]</f>
        <v>470000</v>
      </c>
      <c r="L15" s="16"/>
      <c r="M15" s="16"/>
      <c r="N15" s="16"/>
      <c r="O15" s="16"/>
      <c r="P15" s="16"/>
      <c r="Q15" s="16"/>
      <c r="R15" s="16"/>
      <c r="S15" s="16"/>
      <c r="T15" s="16"/>
      <c r="U15" s="16"/>
      <c r="V15" s="16"/>
      <c r="W15" s="16"/>
      <c r="X15" s="16"/>
      <c r="Y15" s="16"/>
      <c r="Z15" s="16"/>
      <c r="AA15" s="16">
        <v>45</v>
      </c>
      <c r="AB15" s="16">
        <v>26</v>
      </c>
      <c r="AC15" s="16">
        <v>23</v>
      </c>
      <c r="AD15" s="16"/>
      <c r="AE15" s="16"/>
      <c r="AF15" s="16"/>
      <c r="AG15" s="16"/>
      <c r="AH15" s="16"/>
      <c r="AI15" s="16"/>
      <c r="AJ15" s="16"/>
      <c r="AK15" s="16"/>
      <c r="AL15" s="16"/>
      <c r="AM15" s="16"/>
      <c r="AN15" s="16"/>
      <c r="AO15" s="51">
        <f>Table1[[#This Row],[SỐ LƯỢNG ]]-SUM(Table1[[#This Row],[XK ĐỒNG TÂM]:[XK LSX 8]])</f>
        <v>906</v>
      </c>
      <c r="AP15" s="51">
        <f>Table1[[#This Row],[CÒN LẠI (gram)]]*Table1[[#This Row],[ĐƠN GIÁ /1 KG]]</f>
        <v>425820</v>
      </c>
      <c r="AQ15" s="3" t="s">
        <v>33</v>
      </c>
      <c r="AR15" s="3"/>
      <c r="AS15" s="20"/>
      <c r="AT15" s="3"/>
      <c r="AU15" s="3"/>
    </row>
    <row r="16" spans="1:47" s="4" customFormat="1" ht="21.75" customHeight="1" x14ac:dyDescent="0.35">
      <c r="A16" s="5">
        <v>13</v>
      </c>
      <c r="B16" s="13" t="s">
        <v>37</v>
      </c>
      <c r="C16" s="3" t="s">
        <v>38</v>
      </c>
      <c r="D16" s="27" t="s">
        <v>412</v>
      </c>
      <c r="E16" s="15" t="s">
        <v>17</v>
      </c>
      <c r="F16" s="23">
        <v>1</v>
      </c>
      <c r="G16" s="7">
        <v>45899</v>
      </c>
      <c r="H16" s="26">
        <v>8235</v>
      </c>
      <c r="I16" s="16">
        <f>Table1[[#This Row],[SỐ LƯỢNG ]]*1000</f>
        <v>1000</v>
      </c>
      <c r="J16" s="16">
        <v>1976000</v>
      </c>
      <c r="K16" s="16">
        <f>Table1[[#This Row],[SỐ LƯỢNG ]]*Table1[[#This Row],[ĐƠN GIÁ /1 KG]]</f>
        <v>1976000</v>
      </c>
      <c r="L16" s="16">
        <v>1000</v>
      </c>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31">
        <f>Table1[[#This Row],[QUY ĐỔI GRAM]]-SUM(Table1[[#This Row],[XK ĐỒNG TÂM]:[XK LSX 8]])</f>
        <v>0</v>
      </c>
      <c r="AP16" s="31">
        <f>Table1[[#This Row],[CÒN LẠI (gram)]]*Table1[[#This Row],[ĐƠN GIÁ /1 KG]]/1000</f>
        <v>0</v>
      </c>
      <c r="AQ16" s="3" t="s">
        <v>39</v>
      </c>
      <c r="AR16" s="3" t="s">
        <v>103</v>
      </c>
      <c r="AS16" s="21" t="s">
        <v>117</v>
      </c>
      <c r="AT16" s="7">
        <v>45400</v>
      </c>
      <c r="AU16" s="7">
        <v>45674</v>
      </c>
    </row>
    <row r="17" spans="1:47" s="4" customFormat="1" ht="21.65" customHeight="1" x14ac:dyDescent="0.35">
      <c r="A17" s="5">
        <v>14</v>
      </c>
      <c r="B17" s="3" t="s">
        <v>206</v>
      </c>
      <c r="C17" s="3"/>
      <c r="D17" s="8"/>
      <c r="E17" s="15" t="s">
        <v>207</v>
      </c>
      <c r="F17" s="23">
        <v>600</v>
      </c>
      <c r="G17" s="7">
        <v>45918</v>
      </c>
      <c r="H17" s="26">
        <v>328</v>
      </c>
      <c r="I17" s="16"/>
      <c r="J17" s="16">
        <v>6000</v>
      </c>
      <c r="K17" s="16">
        <f>Table1[[#This Row],[SỐ LƯỢNG ]]*Table1[[#This Row],[ĐƠN GIÁ /1 KG]]</f>
        <v>3600000</v>
      </c>
      <c r="L17" s="16">
        <v>1</v>
      </c>
      <c r="M17" s="16">
        <v>2</v>
      </c>
      <c r="N17" s="16">
        <v>2</v>
      </c>
      <c r="O17" s="16">
        <v>2</v>
      </c>
      <c r="P17" s="16">
        <v>2</v>
      </c>
      <c r="Q17" s="16">
        <v>2</v>
      </c>
      <c r="R17" s="16">
        <v>2</v>
      </c>
      <c r="S17" s="16"/>
      <c r="T17" s="16"/>
      <c r="U17" s="16"/>
      <c r="V17" s="16"/>
      <c r="W17" s="16"/>
      <c r="X17" s="16"/>
      <c r="Y17" s="16"/>
      <c r="Z17" s="16"/>
      <c r="AA17" s="16"/>
      <c r="AB17" s="16"/>
      <c r="AC17" s="16"/>
      <c r="AD17" s="16"/>
      <c r="AE17" s="16"/>
      <c r="AF17" s="16"/>
      <c r="AG17" s="16"/>
      <c r="AH17" s="16"/>
      <c r="AI17" s="16"/>
      <c r="AJ17" s="16"/>
      <c r="AK17" s="16"/>
      <c r="AL17" s="16"/>
      <c r="AM17" s="16"/>
      <c r="AN17" s="16"/>
      <c r="AO17" s="51">
        <f>Table1[[#This Row],[SỐ LƯỢNG ]]-SUM(Table1[[#This Row],[XK ĐỒNG TÂM]:[XK LSX 8]])</f>
        <v>587</v>
      </c>
      <c r="AP17" s="51">
        <f>Table1[[#This Row],[CÒN LẠI (gram)]]*Table1[[#This Row],[ĐƠN GIÁ /1 KG]]</f>
        <v>3522000</v>
      </c>
      <c r="AQ17" s="3" t="s">
        <v>208</v>
      </c>
      <c r="AR17" s="3"/>
      <c r="AS17" s="21"/>
      <c r="AT17" s="7"/>
      <c r="AU17" s="7"/>
    </row>
    <row r="18" spans="1:47" s="4" customFormat="1" ht="24" customHeight="1" x14ac:dyDescent="0.35">
      <c r="A18" s="5">
        <v>15</v>
      </c>
      <c r="B18" s="3" t="s">
        <v>40</v>
      </c>
      <c r="C18" s="3"/>
      <c r="D18" s="8"/>
      <c r="E18" s="15" t="s">
        <v>17</v>
      </c>
      <c r="F18" s="23">
        <v>40</v>
      </c>
      <c r="G18" s="7">
        <v>45922</v>
      </c>
      <c r="H18" s="26">
        <v>1651</v>
      </c>
      <c r="I18" s="16">
        <f>Table1[[#This Row],[SỐ LƯỢNG ]]*1000</f>
        <v>40000</v>
      </c>
      <c r="J18" s="16">
        <v>55000</v>
      </c>
      <c r="K18" s="16">
        <f>Table1[[#This Row],[SỐ LƯỢNG ]]*Table1[[#This Row],[ĐƠN GIÁ /1 KG]]</f>
        <v>2200000</v>
      </c>
      <c r="L18" s="16">
        <v>2000</v>
      </c>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31">
        <f>Table1[[#This Row],[QUY ĐỔI GRAM]]-SUM(Table1[[#This Row],[XK ĐỒNG TÂM]:[XK LSX 8]])</f>
        <v>38000</v>
      </c>
      <c r="AP18" s="31">
        <f>Table1[[#This Row],[CÒN LẠI (gram)]]*Table1[[#This Row],[ĐƠN GIÁ /1 KG]]/1000</f>
        <v>2090000</v>
      </c>
      <c r="AQ18" s="3" t="s">
        <v>48</v>
      </c>
      <c r="AR18" s="3"/>
      <c r="AS18" s="20"/>
      <c r="AT18" s="3"/>
      <c r="AU18" s="3"/>
    </row>
    <row r="19" spans="1:47" s="4" customFormat="1" ht="28" x14ac:dyDescent="0.35">
      <c r="A19" s="5">
        <v>16</v>
      </c>
      <c r="B19" s="13" t="s">
        <v>42</v>
      </c>
      <c r="C19" s="3" t="s">
        <v>44</v>
      </c>
      <c r="D19" s="8" t="s">
        <v>43</v>
      </c>
      <c r="E19" s="15" t="s">
        <v>17</v>
      </c>
      <c r="F19" s="23">
        <v>1</v>
      </c>
      <c r="G19" s="7">
        <v>45903</v>
      </c>
      <c r="H19" s="26">
        <v>2096</v>
      </c>
      <c r="I19" s="16">
        <f>Table1[[#This Row],[SỐ LƯỢNG ]]*1000</f>
        <v>1000</v>
      </c>
      <c r="J19" s="16">
        <v>3313500</v>
      </c>
      <c r="K19" s="16">
        <f>Table1[[#This Row],[SỐ LƯỢNG ]]*Table1[[#This Row],[ĐƠN GIÁ /1 KG]]</f>
        <v>3313500</v>
      </c>
      <c r="L19" s="16">
        <v>600</v>
      </c>
      <c r="M19" s="16"/>
      <c r="N19" s="16"/>
      <c r="O19" s="16"/>
      <c r="P19" s="16"/>
      <c r="Q19" s="16"/>
      <c r="R19" s="16"/>
      <c r="S19" s="16">
        <v>400</v>
      </c>
      <c r="T19" s="16"/>
      <c r="U19" s="16"/>
      <c r="V19" s="16"/>
      <c r="W19" s="16"/>
      <c r="X19" s="16"/>
      <c r="Y19" s="16"/>
      <c r="Z19" s="16"/>
      <c r="AA19" s="16"/>
      <c r="AB19" s="16"/>
      <c r="AC19" s="16"/>
      <c r="AD19" s="16"/>
      <c r="AE19" s="16"/>
      <c r="AF19" s="16"/>
      <c r="AG19" s="16"/>
      <c r="AH19" s="16"/>
      <c r="AI19" s="16"/>
      <c r="AJ19" s="16"/>
      <c r="AK19" s="16"/>
      <c r="AL19" s="16"/>
      <c r="AM19" s="16"/>
      <c r="AN19" s="16"/>
      <c r="AO19" s="31">
        <f>Table1[[#This Row],[QUY ĐỔI GRAM]]-SUM(Table1[[#This Row],[XK ĐỒNG TÂM]:[XK LSX 8]])</f>
        <v>0</v>
      </c>
      <c r="AP19" s="31">
        <f>Table1[[#This Row],[CÒN LẠI (gram)]]*Table1[[#This Row],[ĐƠN GIÁ /1 KG]]/1000</f>
        <v>0</v>
      </c>
      <c r="AQ19" s="3" t="s">
        <v>28</v>
      </c>
      <c r="AR19" s="3" t="s">
        <v>103</v>
      </c>
      <c r="AS19" s="20" t="s">
        <v>107</v>
      </c>
      <c r="AT19" s="7">
        <v>45726</v>
      </c>
      <c r="AU19" s="7">
        <v>46455</v>
      </c>
    </row>
    <row r="20" spans="1:47" s="4" customFormat="1" ht="28" x14ac:dyDescent="0.35">
      <c r="A20" s="5">
        <v>17</v>
      </c>
      <c r="B20" s="13" t="s">
        <v>42</v>
      </c>
      <c r="C20" s="3" t="s">
        <v>44</v>
      </c>
      <c r="D20" s="8" t="s">
        <v>43</v>
      </c>
      <c r="E20" s="15" t="s">
        <v>17</v>
      </c>
      <c r="F20" s="23">
        <v>3</v>
      </c>
      <c r="G20" s="7">
        <v>45957</v>
      </c>
      <c r="H20" s="26">
        <v>2640</v>
      </c>
      <c r="I20" s="16">
        <f>Table1[[#This Row],[SỐ LƯỢNG ]]*1000</f>
        <v>3000</v>
      </c>
      <c r="J20" s="16">
        <v>3294000</v>
      </c>
      <c r="K20" s="16">
        <f>Table1[[#This Row],[SỐ LƯỢNG ]]*Table1[[#This Row],[ĐƠN GIÁ /1 KG]]</f>
        <v>9882000</v>
      </c>
      <c r="L20" s="16"/>
      <c r="M20" s="16"/>
      <c r="N20" s="16"/>
      <c r="O20" s="16"/>
      <c r="P20" s="16"/>
      <c r="Q20" s="16"/>
      <c r="R20" s="16"/>
      <c r="S20" s="16">
        <v>2000</v>
      </c>
      <c r="T20" s="16"/>
      <c r="U20" s="16"/>
      <c r="V20" s="16"/>
      <c r="W20" s="107"/>
      <c r="X20" s="16">
        <v>150</v>
      </c>
      <c r="Y20" s="16"/>
      <c r="Z20" s="16"/>
      <c r="AA20" s="16"/>
      <c r="AB20" s="16"/>
      <c r="AC20" s="16"/>
      <c r="AD20" s="16"/>
      <c r="AE20" s="23">
        <v>101.3</v>
      </c>
      <c r="AF20" s="16"/>
      <c r="AG20" s="16"/>
      <c r="AH20" s="16"/>
      <c r="AI20" s="16"/>
      <c r="AJ20" s="16"/>
      <c r="AK20" s="16"/>
      <c r="AL20" s="16"/>
      <c r="AM20" s="16"/>
      <c r="AN20" s="16"/>
      <c r="AO20" s="104">
        <f>Table1[[#This Row],[QUY ĐỔI GRAM]]-SUM(Table1[[#This Row],[XK ĐỒNG TÂM]:[XK LSX 8]])</f>
        <v>748.69999999999982</v>
      </c>
      <c r="AP20" s="31">
        <f>Table1[[#This Row],[CÒN LẠI (gram)]]*Table1[[#This Row],[ĐƠN GIÁ /1 KG]]/1000</f>
        <v>2466217.7999999993</v>
      </c>
      <c r="AQ20" s="3" t="s">
        <v>28</v>
      </c>
      <c r="AR20" s="3" t="s">
        <v>103</v>
      </c>
      <c r="AS20" s="20" t="s">
        <v>106</v>
      </c>
      <c r="AT20" s="7">
        <v>45868</v>
      </c>
      <c r="AU20" s="7">
        <v>46597</v>
      </c>
    </row>
    <row r="21" spans="1:47" s="4" customFormat="1" ht="24" customHeight="1" x14ac:dyDescent="0.35">
      <c r="A21" s="5">
        <v>18</v>
      </c>
      <c r="B21" s="13" t="s">
        <v>45</v>
      </c>
      <c r="C21" s="3" t="s">
        <v>47</v>
      </c>
      <c r="D21" s="8" t="s">
        <v>46</v>
      </c>
      <c r="E21" s="15" t="s">
        <v>17</v>
      </c>
      <c r="F21" s="23">
        <v>1</v>
      </c>
      <c r="G21" s="7">
        <v>45903</v>
      </c>
      <c r="H21" s="26">
        <v>2096</v>
      </c>
      <c r="I21" s="16">
        <f>Table1[[#This Row],[SỐ LƯỢNG ]]*1000</f>
        <v>1000</v>
      </c>
      <c r="J21" s="16">
        <v>3313500</v>
      </c>
      <c r="K21" s="16">
        <f>Table1[[#This Row],[SỐ LƯỢNG ]]*Table1[[#This Row],[ĐƠN GIÁ /1 KG]]</f>
        <v>3313500</v>
      </c>
      <c r="L21" s="16">
        <v>990</v>
      </c>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31">
        <f>Table1[[#This Row],[QUY ĐỔI GRAM]]-SUM(Table1[[#This Row],[XK ĐỒNG TÂM]:[XK LSX 8]])</f>
        <v>10</v>
      </c>
      <c r="AP21" s="31">
        <f>Table1[[#This Row],[CÒN LẠI (gram)]]*Table1[[#This Row],[ĐƠN GIÁ /1 KG]]/1000</f>
        <v>33135</v>
      </c>
      <c r="AQ21" s="3" t="s">
        <v>28</v>
      </c>
      <c r="AR21" s="3" t="s">
        <v>103</v>
      </c>
      <c r="AS21" s="20" t="s">
        <v>118</v>
      </c>
      <c r="AT21" s="7">
        <v>45729</v>
      </c>
      <c r="AU21" s="7">
        <v>46458</v>
      </c>
    </row>
    <row r="22" spans="1:47" s="4" customFormat="1" ht="24" customHeight="1" x14ac:dyDescent="0.35">
      <c r="A22" s="5">
        <v>19</v>
      </c>
      <c r="B22" s="3" t="s">
        <v>228</v>
      </c>
      <c r="C22" s="3"/>
      <c r="D22" s="8"/>
      <c r="E22" s="15" t="s">
        <v>229</v>
      </c>
      <c r="F22" s="23">
        <v>5000</v>
      </c>
      <c r="G22" s="7">
        <v>45905</v>
      </c>
      <c r="H22" s="26">
        <v>160</v>
      </c>
      <c r="I22" s="16"/>
      <c r="J22" s="16">
        <v>21000</v>
      </c>
      <c r="K22" s="16">
        <f>Table1[[#This Row],[SỐ LƯỢNG ]]*Table1[[#This Row],[ĐƠN GIÁ /1 KG]]</f>
        <v>105000000</v>
      </c>
      <c r="L22" s="16"/>
      <c r="M22" s="16"/>
      <c r="N22" s="16"/>
      <c r="O22" s="16"/>
      <c r="P22" s="16"/>
      <c r="Q22" s="16"/>
      <c r="R22" s="16"/>
      <c r="S22" s="16">
        <v>5000</v>
      </c>
      <c r="T22" s="16"/>
      <c r="U22" s="16"/>
      <c r="V22" s="16"/>
      <c r="W22" s="16"/>
      <c r="X22" s="16"/>
      <c r="Y22" s="16"/>
      <c r="Z22" s="16"/>
      <c r="AA22" s="16"/>
      <c r="AB22" s="16"/>
      <c r="AC22" s="16"/>
      <c r="AD22" s="16"/>
      <c r="AE22" s="16"/>
      <c r="AF22" s="16"/>
      <c r="AG22" s="16"/>
      <c r="AH22" s="16"/>
      <c r="AI22" s="16"/>
      <c r="AJ22" s="16"/>
      <c r="AK22" s="16"/>
      <c r="AL22" s="16"/>
      <c r="AM22" s="16"/>
      <c r="AN22" s="16"/>
      <c r="AO22" s="51">
        <f>Table1[[#This Row],[SỐ LƯỢNG ]]-SUM(Table1[[#This Row],[XK ĐỒNG TÂM]:[XK LSX 8]])</f>
        <v>0</v>
      </c>
      <c r="AP22" s="51">
        <f>Table1[[#This Row],[CÒN LẠI (gram)]]*Table1[[#This Row],[ĐƠN GIÁ /1 KG]]</f>
        <v>0</v>
      </c>
      <c r="AQ22" s="3" t="s">
        <v>436</v>
      </c>
      <c r="AR22" s="3"/>
      <c r="AS22" s="20"/>
      <c r="AT22" s="7"/>
      <c r="AU22" s="7"/>
    </row>
    <row r="23" spans="1:47" s="4" customFormat="1" ht="24" customHeight="1" x14ac:dyDescent="0.35">
      <c r="A23" s="5">
        <v>20</v>
      </c>
      <c r="B23" s="13" t="s">
        <v>49</v>
      </c>
      <c r="C23" s="3" t="s">
        <v>50</v>
      </c>
      <c r="D23" s="25" t="s">
        <v>166</v>
      </c>
      <c r="E23" s="15" t="s">
        <v>17</v>
      </c>
      <c r="F23" s="23">
        <v>1</v>
      </c>
      <c r="G23" s="7">
        <v>45931</v>
      </c>
      <c r="H23" s="26">
        <v>2401</v>
      </c>
      <c r="I23" s="16">
        <f>Table1[[#This Row],[SỐ LƯỢNG ]]*1000</f>
        <v>1000</v>
      </c>
      <c r="J23" s="16">
        <v>10313940</v>
      </c>
      <c r="K23" s="16">
        <f>Table1[[#This Row],[SỐ LƯỢNG ]]*Table1[[#This Row],[ĐƠN GIÁ /1 KG]]</f>
        <v>10313940</v>
      </c>
      <c r="L23" s="16"/>
      <c r="M23" s="16"/>
      <c r="N23" s="16"/>
      <c r="O23" s="16"/>
      <c r="P23" s="16"/>
      <c r="Q23" s="16"/>
      <c r="R23" s="16"/>
      <c r="S23" s="16">
        <v>1000</v>
      </c>
      <c r="T23" s="16"/>
      <c r="U23" s="16"/>
      <c r="V23" s="16"/>
      <c r="W23" s="16"/>
      <c r="X23" s="16"/>
      <c r="Y23" s="16"/>
      <c r="Z23" s="16"/>
      <c r="AA23" s="16"/>
      <c r="AB23" s="16"/>
      <c r="AC23" s="16"/>
      <c r="AD23" s="16"/>
      <c r="AE23" s="16"/>
      <c r="AF23" s="16"/>
      <c r="AG23" s="16"/>
      <c r="AH23" s="16"/>
      <c r="AI23" s="16"/>
      <c r="AJ23" s="16"/>
      <c r="AK23" s="16"/>
      <c r="AL23" s="16"/>
      <c r="AM23" s="16"/>
      <c r="AN23" s="16"/>
      <c r="AO23" s="31">
        <f>Table1[[#This Row],[QUY ĐỔI GRAM]]-SUM(Table1[[#This Row],[XK ĐỒNG TÂM]:[XK LSX 8]])</f>
        <v>0</v>
      </c>
      <c r="AP23" s="31">
        <f>Table1[[#This Row],[CÒN LẠI (gram)]]*Table1[[#This Row],[ĐƠN GIÁ /1 KG]]/1000</f>
        <v>0</v>
      </c>
      <c r="AQ23" s="3" t="s">
        <v>28</v>
      </c>
      <c r="AR23" s="3" t="s">
        <v>103</v>
      </c>
      <c r="AS23" s="20" t="s">
        <v>111</v>
      </c>
      <c r="AT23" s="7">
        <v>45793</v>
      </c>
      <c r="AU23" s="7">
        <v>46342</v>
      </c>
    </row>
    <row r="24" spans="1:47" s="4" customFormat="1" ht="24" customHeight="1" x14ac:dyDescent="0.35">
      <c r="A24" s="5">
        <v>21</v>
      </c>
      <c r="B24" s="13" t="s">
        <v>99</v>
      </c>
      <c r="C24" s="41" t="s">
        <v>112</v>
      </c>
      <c r="D24" s="17" t="s">
        <v>51</v>
      </c>
      <c r="E24" s="15" t="s">
        <v>17</v>
      </c>
      <c r="F24" s="23">
        <v>14</v>
      </c>
      <c r="G24" s="7">
        <v>45931</v>
      </c>
      <c r="H24" s="26">
        <v>2401</v>
      </c>
      <c r="I24" s="16">
        <f>Table1[[#This Row],[SỐ LƯỢNG ]]*1000</f>
        <v>14000</v>
      </c>
      <c r="J24" s="16">
        <v>277683</v>
      </c>
      <c r="K24" s="16">
        <f>Table1[[#This Row],[SỐ LƯỢNG ]]*Table1[[#This Row],[ĐƠN GIÁ /1 KG]]</f>
        <v>3887562</v>
      </c>
      <c r="L24" s="16"/>
      <c r="M24" s="16"/>
      <c r="N24" s="16"/>
      <c r="O24" s="16"/>
      <c r="P24" s="16"/>
      <c r="Q24" s="16"/>
      <c r="R24" s="16"/>
      <c r="S24" s="16"/>
      <c r="T24" s="16">
        <v>4000</v>
      </c>
      <c r="U24" s="16">
        <v>500</v>
      </c>
      <c r="V24" s="16"/>
      <c r="W24" s="16"/>
      <c r="X24" s="16"/>
      <c r="Y24" s="16">
        <v>1004.5</v>
      </c>
      <c r="Z24" s="16"/>
      <c r="AA24" s="16"/>
      <c r="AB24" s="16"/>
      <c r="AC24" s="16"/>
      <c r="AD24" s="16"/>
      <c r="AE24" s="16"/>
      <c r="AF24" s="16"/>
      <c r="AG24" s="16"/>
      <c r="AH24" s="16"/>
      <c r="AI24" s="16"/>
      <c r="AJ24" s="16"/>
      <c r="AK24" s="16"/>
      <c r="AL24" s="16"/>
      <c r="AM24" s="16"/>
      <c r="AN24" s="16"/>
      <c r="AO24" s="31">
        <f>Table1[[#This Row],[QUY ĐỔI GRAM]]-SUM(Table1[[#This Row],[XK ĐỒNG TÂM]:[XK LSX 8]])</f>
        <v>8495.5</v>
      </c>
      <c r="AP24" s="31">
        <f>Table1[[#This Row],[CÒN LẠI (gram)]]*Table1[[#This Row],[ĐƠN GIÁ /1 KG]]/1000</f>
        <v>2359055.9265000001</v>
      </c>
      <c r="AQ24" s="3" t="s">
        <v>28</v>
      </c>
      <c r="AR24" s="3" t="s">
        <v>103</v>
      </c>
      <c r="AS24" s="20">
        <v>850118</v>
      </c>
      <c r="AT24" s="7">
        <v>45683</v>
      </c>
      <c r="AU24" s="7">
        <v>46412</v>
      </c>
    </row>
    <row r="25" spans="1:47" s="4" customFormat="1" ht="24" customHeight="1" x14ac:dyDescent="0.35">
      <c r="A25" s="5">
        <v>22</v>
      </c>
      <c r="B25" s="13" t="s">
        <v>52</v>
      </c>
      <c r="C25" s="3" t="s">
        <v>53</v>
      </c>
      <c r="D25" s="8" t="s">
        <v>54</v>
      </c>
      <c r="E25" s="15" t="s">
        <v>17</v>
      </c>
      <c r="F25" s="23">
        <v>2</v>
      </c>
      <c r="G25" s="7">
        <v>45931</v>
      </c>
      <c r="H25" s="26">
        <v>9588</v>
      </c>
      <c r="I25" s="16">
        <f>Table1[[#This Row],[SỐ LƯỢNG ]]*1000</f>
        <v>2000</v>
      </c>
      <c r="J25" s="16">
        <v>337962.96</v>
      </c>
      <c r="K25" s="16">
        <f>Table1[[#This Row],[SỐ LƯỢNG ]]*Table1[[#This Row],[ĐƠN GIÁ /1 KG]]</f>
        <v>675925.92</v>
      </c>
      <c r="L25" s="16">
        <v>60</v>
      </c>
      <c r="M25" s="16">
        <v>900</v>
      </c>
      <c r="N25" s="16">
        <v>900</v>
      </c>
      <c r="O25" s="16">
        <v>140</v>
      </c>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31">
        <f>Table1[[#This Row],[QUY ĐỔI GRAM]]-SUM(Table1[[#This Row],[XK ĐỒNG TÂM]:[XK LSX 8]])</f>
        <v>0</v>
      </c>
      <c r="AP25" s="31">
        <f>Table1[[#This Row],[CÒN LẠI (gram)]]*Table1[[#This Row],[ĐƠN GIÁ /1 KG]]/1000</f>
        <v>0</v>
      </c>
      <c r="AQ25" s="3" t="s">
        <v>39</v>
      </c>
      <c r="AR25" s="3" t="s">
        <v>103</v>
      </c>
      <c r="AS25" s="20" t="s">
        <v>124</v>
      </c>
      <c r="AT25" s="22">
        <v>45689</v>
      </c>
      <c r="AU25" s="3" t="s">
        <v>125</v>
      </c>
    </row>
    <row r="26" spans="1:47" s="4" customFormat="1" ht="24" customHeight="1" x14ac:dyDescent="0.35">
      <c r="A26" s="5">
        <v>23</v>
      </c>
      <c r="B26" s="13" t="s">
        <v>52</v>
      </c>
      <c r="C26" s="3" t="s">
        <v>53</v>
      </c>
      <c r="D26" s="8" t="s">
        <v>54</v>
      </c>
      <c r="E26" s="15" t="s">
        <v>17</v>
      </c>
      <c r="F26" s="23">
        <v>5</v>
      </c>
      <c r="G26" s="7">
        <v>45958</v>
      </c>
      <c r="H26" s="26">
        <v>10903</v>
      </c>
      <c r="I26" s="16">
        <f>Table1[[#This Row],[SỐ LƯỢNG ]]*1000</f>
        <v>5000</v>
      </c>
      <c r="J26" s="16">
        <v>337962.96</v>
      </c>
      <c r="K26" s="16">
        <f>Table1[[#This Row],[SỐ LƯỢNG ]]*Table1[[#This Row],[ĐƠN GIÁ /1 KG]]</f>
        <v>1689814.8</v>
      </c>
      <c r="L26" s="16"/>
      <c r="M26" s="16"/>
      <c r="N26" s="16"/>
      <c r="O26" s="16">
        <f>900-O25</f>
        <v>760</v>
      </c>
      <c r="P26" s="16">
        <v>900</v>
      </c>
      <c r="Q26" s="16">
        <v>900</v>
      </c>
      <c r="R26" s="16">
        <v>900</v>
      </c>
      <c r="S26" s="16">
        <v>1200</v>
      </c>
      <c r="T26" s="16">
        <v>200</v>
      </c>
      <c r="U26" s="16">
        <v>30</v>
      </c>
      <c r="V26" s="16">
        <v>60</v>
      </c>
      <c r="W26" s="16"/>
      <c r="X26" s="16">
        <v>30</v>
      </c>
      <c r="Y26" s="16">
        <v>20</v>
      </c>
      <c r="Z26" s="16"/>
      <c r="AA26" s="16"/>
      <c r="AB26" s="16"/>
      <c r="AC26" s="16"/>
      <c r="AD26" s="16"/>
      <c r="AE26" s="16"/>
      <c r="AF26" s="16"/>
      <c r="AG26" s="16"/>
      <c r="AH26" s="16"/>
      <c r="AI26" s="16"/>
      <c r="AJ26" s="16"/>
      <c r="AK26" s="16"/>
      <c r="AL26" s="16"/>
      <c r="AM26" s="16"/>
      <c r="AN26" s="16"/>
      <c r="AO26" s="31">
        <f>Table1[[#This Row],[QUY ĐỔI GRAM]]-SUM(Table1[[#This Row],[XK ĐỒNG TÂM]:[XK LSX 8]])</f>
        <v>0</v>
      </c>
      <c r="AP26" s="31">
        <f>Table1[[#This Row],[CÒN LẠI (gram)]]*Table1[[#This Row],[ĐƠN GIÁ /1 KG]]/1000</f>
        <v>0</v>
      </c>
      <c r="AQ26" s="3" t="s">
        <v>39</v>
      </c>
      <c r="AR26" s="3" t="s">
        <v>103</v>
      </c>
      <c r="AS26" s="20" t="s">
        <v>124</v>
      </c>
      <c r="AT26" s="22">
        <v>45689</v>
      </c>
      <c r="AU26" s="3" t="s">
        <v>125</v>
      </c>
    </row>
    <row r="27" spans="1:47" s="4" customFormat="1" ht="24" customHeight="1" x14ac:dyDescent="0.35">
      <c r="A27" s="5">
        <v>24</v>
      </c>
      <c r="B27" s="13" t="s">
        <v>55</v>
      </c>
      <c r="C27" s="3" t="s">
        <v>126</v>
      </c>
      <c r="D27" s="8" t="s">
        <v>413</v>
      </c>
      <c r="E27" s="15" t="s">
        <v>17</v>
      </c>
      <c r="F27" s="23">
        <v>9</v>
      </c>
      <c r="G27" s="7">
        <v>45931</v>
      </c>
      <c r="H27" s="26">
        <v>9588</v>
      </c>
      <c r="I27" s="16">
        <f>Table1[[#This Row],[SỐ LƯỢNG ]]*1000</f>
        <v>9000</v>
      </c>
      <c r="J27" s="16">
        <v>1542683.33</v>
      </c>
      <c r="K27" s="16">
        <f>Table1[[#This Row],[SỐ LƯỢNG ]]*Table1[[#This Row],[ĐƠN GIÁ /1 KG]]</f>
        <v>13884149.970000001</v>
      </c>
      <c r="L27" s="16"/>
      <c r="M27" s="16"/>
      <c r="N27" s="16"/>
      <c r="O27" s="16"/>
      <c r="P27" s="16"/>
      <c r="Q27" s="16"/>
      <c r="R27" s="16"/>
      <c r="S27" s="16">
        <v>9000</v>
      </c>
      <c r="T27" s="16"/>
      <c r="U27" s="16"/>
      <c r="V27" s="16"/>
      <c r="W27" s="16"/>
      <c r="X27" s="16"/>
      <c r="Y27" s="16"/>
      <c r="Z27" s="16"/>
      <c r="AA27" s="16"/>
      <c r="AB27" s="16"/>
      <c r="AC27" s="16"/>
      <c r="AD27" s="16"/>
      <c r="AE27" s="16"/>
      <c r="AF27" s="16"/>
      <c r="AG27" s="16"/>
      <c r="AH27" s="16"/>
      <c r="AI27" s="16"/>
      <c r="AJ27" s="16"/>
      <c r="AK27" s="16"/>
      <c r="AL27" s="16"/>
      <c r="AM27" s="16"/>
      <c r="AN27" s="16"/>
      <c r="AO27" s="31">
        <f>Table1[[#This Row],[QUY ĐỔI GRAM]]-SUM(Table1[[#This Row],[XK ĐỒNG TÂM]:[XK LSX 8]])</f>
        <v>0</v>
      </c>
      <c r="AP27" s="31">
        <f>Table1[[#This Row],[CÒN LẠI (gram)]]*Table1[[#This Row],[ĐƠN GIÁ /1 KG]]/1000</f>
        <v>0</v>
      </c>
      <c r="AQ27" s="3" t="s">
        <v>39</v>
      </c>
      <c r="AR27" s="3" t="s">
        <v>103</v>
      </c>
      <c r="AS27" s="20" t="s">
        <v>127</v>
      </c>
      <c r="AT27" s="7">
        <v>45364</v>
      </c>
      <c r="AU27" s="7">
        <v>46093</v>
      </c>
    </row>
    <row r="28" spans="1:47" s="4" customFormat="1" ht="24" customHeight="1" x14ac:dyDescent="0.35">
      <c r="A28" s="5">
        <v>25</v>
      </c>
      <c r="B28" s="13" t="s">
        <v>56</v>
      </c>
      <c r="C28" s="3"/>
      <c r="D28" s="8" t="s">
        <v>57</v>
      </c>
      <c r="E28" s="15" t="s">
        <v>17</v>
      </c>
      <c r="F28" s="23">
        <v>2</v>
      </c>
      <c r="G28" s="7">
        <v>45931</v>
      </c>
      <c r="H28" s="26">
        <v>9588</v>
      </c>
      <c r="I28" s="16">
        <f>Table1[[#This Row],[SỐ LƯỢNG ]]*1000</f>
        <v>2000</v>
      </c>
      <c r="J28" s="16">
        <v>143518.51999999999</v>
      </c>
      <c r="K28" s="16">
        <f>Table1[[#This Row],[SỐ LƯỢNG ]]*Table1[[#This Row],[ĐƠN GIÁ /1 KG]]</f>
        <v>287037.03999999998</v>
      </c>
      <c r="L28" s="16"/>
      <c r="M28" s="16"/>
      <c r="N28" s="16"/>
      <c r="O28" s="16"/>
      <c r="P28" s="16"/>
      <c r="Q28" s="16"/>
      <c r="R28" s="16"/>
      <c r="S28" s="16"/>
      <c r="T28" s="16"/>
      <c r="U28" s="16"/>
      <c r="V28" s="16"/>
      <c r="W28" s="16"/>
      <c r="X28" s="16"/>
      <c r="Y28" s="16"/>
      <c r="Z28" s="16"/>
      <c r="AA28" s="16">
        <v>1568</v>
      </c>
      <c r="AB28" s="16"/>
      <c r="AC28" s="16"/>
      <c r="AD28" s="16"/>
      <c r="AE28" s="16"/>
      <c r="AF28" s="16"/>
      <c r="AG28" s="16"/>
      <c r="AH28" s="16"/>
      <c r="AI28" s="16"/>
      <c r="AJ28" s="16"/>
      <c r="AK28" s="16"/>
      <c r="AL28" s="16"/>
      <c r="AM28" s="16"/>
      <c r="AN28" s="16"/>
      <c r="AO28" s="31">
        <f>Table1[[#This Row],[QUY ĐỔI GRAM]]-SUM(Table1[[#This Row],[XK ĐỒNG TÂM]:[XK LSX 8]])</f>
        <v>432</v>
      </c>
      <c r="AP28" s="31">
        <f>Table1[[#This Row],[CÒN LẠI (gram)]]*Table1[[#This Row],[ĐƠN GIÁ /1 KG]]/1000</f>
        <v>62000.000639999991</v>
      </c>
      <c r="AQ28" s="3" t="s">
        <v>39</v>
      </c>
      <c r="AR28" s="3" t="s">
        <v>103</v>
      </c>
      <c r="AS28" s="20">
        <v>6050</v>
      </c>
      <c r="AT28" s="22">
        <v>45444</v>
      </c>
      <c r="AU28" s="22">
        <v>46174</v>
      </c>
    </row>
    <row r="29" spans="1:47" s="4" customFormat="1" ht="24" customHeight="1" x14ac:dyDescent="0.35">
      <c r="A29" s="5">
        <v>26</v>
      </c>
      <c r="B29" s="13" t="s">
        <v>56</v>
      </c>
      <c r="C29" s="3"/>
      <c r="D29" s="8" t="s">
        <v>57</v>
      </c>
      <c r="E29" s="15" t="s">
        <v>17</v>
      </c>
      <c r="F29" s="23">
        <v>2</v>
      </c>
      <c r="G29" s="7">
        <v>45958</v>
      </c>
      <c r="H29" s="26">
        <v>10903</v>
      </c>
      <c r="I29" s="16">
        <f>Table1[[#This Row],[SỐ LƯỢNG ]]*1000</f>
        <v>2000</v>
      </c>
      <c r="J29" s="16">
        <v>143518.51999999999</v>
      </c>
      <c r="K29" s="16">
        <f>Table1[[#This Row],[SỐ LƯỢNG ]]*Table1[[#This Row],[ĐƠN GIÁ /1 KG]]</f>
        <v>287037.03999999998</v>
      </c>
      <c r="L29" s="16"/>
      <c r="M29" s="16"/>
      <c r="N29" s="16"/>
      <c r="O29" s="16"/>
      <c r="P29" s="16"/>
      <c r="Q29" s="16"/>
      <c r="R29" s="16"/>
      <c r="S29" s="16"/>
      <c r="T29" s="16"/>
      <c r="U29" s="16"/>
      <c r="V29" s="16"/>
      <c r="W29" s="16"/>
      <c r="X29" s="16"/>
      <c r="Y29" s="16"/>
      <c r="Z29" s="16"/>
      <c r="AA29" s="16"/>
      <c r="AB29" s="16">
        <v>1026</v>
      </c>
      <c r="AC29" s="16"/>
      <c r="AD29" s="16"/>
      <c r="AE29" s="16"/>
      <c r="AF29" s="16"/>
      <c r="AG29" s="16"/>
      <c r="AH29" s="16"/>
      <c r="AI29" s="16"/>
      <c r="AJ29" s="16"/>
      <c r="AK29" s="16"/>
      <c r="AL29" s="16"/>
      <c r="AM29" s="16"/>
      <c r="AN29" s="16"/>
      <c r="AO29" s="31">
        <f>Table1[[#This Row],[QUY ĐỔI GRAM]]-SUM(Table1[[#This Row],[XK ĐỒNG TÂM]:[XK LSX 8]])</f>
        <v>974</v>
      </c>
      <c r="AP29" s="31">
        <f>Table1[[#This Row],[CÒN LẠI (gram)]]*Table1[[#This Row],[ĐƠN GIÁ /1 KG]]/1000</f>
        <v>139787.03847999999</v>
      </c>
      <c r="AQ29" s="3" t="s">
        <v>39</v>
      </c>
      <c r="AR29" s="3" t="s">
        <v>103</v>
      </c>
      <c r="AS29" s="20">
        <v>6050</v>
      </c>
      <c r="AT29" s="22">
        <v>45444</v>
      </c>
      <c r="AU29" s="22">
        <v>46174</v>
      </c>
    </row>
    <row r="30" spans="1:47" s="4" customFormat="1" ht="24" customHeight="1" x14ac:dyDescent="0.35">
      <c r="A30" s="5">
        <v>27</v>
      </c>
      <c r="B30" s="13" t="s">
        <v>49</v>
      </c>
      <c r="C30" s="3" t="s">
        <v>50</v>
      </c>
      <c r="D30" s="8" t="s">
        <v>50</v>
      </c>
      <c r="E30" s="15" t="s">
        <v>17</v>
      </c>
      <c r="F30" s="23">
        <v>2</v>
      </c>
      <c r="G30" s="7">
        <v>45932</v>
      </c>
      <c r="H30" s="26">
        <v>2416</v>
      </c>
      <c r="I30" s="16">
        <f>Table1[[#This Row],[SỐ LƯỢNG ]]*1000</f>
        <v>2000</v>
      </c>
      <c r="J30" s="16">
        <v>10313940</v>
      </c>
      <c r="K30" s="16">
        <f>Table1[[#This Row],[SỐ LƯỢNG ]]*Table1[[#This Row],[ĐƠN GIÁ /1 KG]]</f>
        <v>20627880</v>
      </c>
      <c r="L30" s="16"/>
      <c r="M30" s="16"/>
      <c r="N30" s="16"/>
      <c r="O30" s="16"/>
      <c r="P30" s="16"/>
      <c r="Q30" s="16"/>
      <c r="R30" s="16"/>
      <c r="S30" s="16">
        <v>2000</v>
      </c>
      <c r="T30" s="16"/>
      <c r="U30" s="16"/>
      <c r="V30" s="16"/>
      <c r="W30" s="16"/>
      <c r="X30" s="16"/>
      <c r="Y30" s="16"/>
      <c r="Z30" s="16"/>
      <c r="AA30" s="16"/>
      <c r="AB30" s="16"/>
      <c r="AC30" s="16"/>
      <c r="AD30" s="16"/>
      <c r="AE30" s="16"/>
      <c r="AF30" s="16"/>
      <c r="AG30" s="16"/>
      <c r="AH30" s="16"/>
      <c r="AI30" s="16"/>
      <c r="AJ30" s="16"/>
      <c r="AK30" s="16"/>
      <c r="AL30" s="16"/>
      <c r="AM30" s="16"/>
      <c r="AN30" s="16"/>
      <c r="AO30" s="31">
        <f>Table1[[#This Row],[QUY ĐỔI GRAM]]-SUM(Table1[[#This Row],[XK ĐỒNG TÂM]:[XK LSX 8]])</f>
        <v>0</v>
      </c>
      <c r="AP30" s="31">
        <f>Table1[[#This Row],[CÒN LẠI (gram)]]*Table1[[#This Row],[ĐƠN GIÁ /1 KG]]/1000</f>
        <v>0</v>
      </c>
      <c r="AQ30" s="3" t="s">
        <v>28</v>
      </c>
      <c r="AR30" s="3" t="s">
        <v>103</v>
      </c>
      <c r="AS30" s="20" t="s">
        <v>111</v>
      </c>
      <c r="AT30" s="7">
        <v>45793</v>
      </c>
      <c r="AU30" s="7">
        <v>46342</v>
      </c>
    </row>
    <row r="31" spans="1:47" s="4" customFormat="1" ht="24" customHeight="1" x14ac:dyDescent="0.35">
      <c r="A31" s="5">
        <v>28</v>
      </c>
      <c r="B31" s="13" t="s">
        <v>58</v>
      </c>
      <c r="C31" s="3" t="s">
        <v>60</v>
      </c>
      <c r="D31" s="8" t="s">
        <v>59</v>
      </c>
      <c r="E31" s="15" t="s">
        <v>17</v>
      </c>
      <c r="F31" s="23">
        <v>2</v>
      </c>
      <c r="G31" s="7">
        <v>45933</v>
      </c>
      <c r="H31" s="26">
        <v>9716</v>
      </c>
      <c r="I31" s="16">
        <f>Table1[[#This Row],[SỐ LƯỢNG ]]*1000</f>
        <v>2000</v>
      </c>
      <c r="J31" s="16">
        <v>703703.7</v>
      </c>
      <c r="K31" s="16">
        <f>Table1[[#This Row],[SỐ LƯỢNG ]]*Table1[[#This Row],[ĐƠN GIÁ /1 KG]]</f>
        <v>1407407.4</v>
      </c>
      <c r="L31" s="16">
        <v>1500</v>
      </c>
      <c r="M31" s="16"/>
      <c r="N31" s="16"/>
      <c r="O31" s="16"/>
      <c r="P31" s="16"/>
      <c r="Q31" s="16"/>
      <c r="R31" s="16"/>
      <c r="S31" s="16"/>
      <c r="T31" s="16"/>
      <c r="U31" s="16"/>
      <c r="V31" s="16">
        <v>500</v>
      </c>
      <c r="W31" s="16"/>
      <c r="X31" s="16"/>
      <c r="Y31" s="16"/>
      <c r="Z31" s="16"/>
      <c r="AA31" s="16"/>
      <c r="AB31" s="16"/>
      <c r="AC31" s="16"/>
      <c r="AD31" s="16"/>
      <c r="AE31" s="16"/>
      <c r="AF31" s="16"/>
      <c r="AG31" s="16"/>
      <c r="AH31" s="16"/>
      <c r="AI31" s="16"/>
      <c r="AJ31" s="16"/>
      <c r="AK31" s="16"/>
      <c r="AL31" s="16"/>
      <c r="AM31" s="16"/>
      <c r="AN31" s="16"/>
      <c r="AO31" s="31">
        <f>Table1[[#This Row],[QUY ĐỔI GRAM]]-SUM(Table1[[#This Row],[XK ĐỒNG TÂM]:[XK LSX 8]])</f>
        <v>0</v>
      </c>
      <c r="AP31" s="31">
        <f>Table1[[#This Row],[CÒN LẠI (gram)]]*Table1[[#This Row],[ĐƠN GIÁ /1 KG]]/1000</f>
        <v>0</v>
      </c>
      <c r="AQ31" s="3" t="s">
        <v>39</v>
      </c>
      <c r="AR31" s="3" t="s">
        <v>103</v>
      </c>
      <c r="AS31" s="20" t="s">
        <v>119</v>
      </c>
      <c r="AT31" s="22">
        <v>45689</v>
      </c>
      <c r="AU31" s="22">
        <v>46388</v>
      </c>
    </row>
    <row r="32" spans="1:47" s="4" customFormat="1" ht="24" customHeight="1" x14ac:dyDescent="0.35">
      <c r="A32" s="5">
        <v>29</v>
      </c>
      <c r="B32" s="13" t="s">
        <v>63</v>
      </c>
      <c r="C32" s="3" t="s">
        <v>61</v>
      </c>
      <c r="D32" s="8" t="s">
        <v>62</v>
      </c>
      <c r="E32" s="15" t="s">
        <v>17</v>
      </c>
      <c r="F32" s="23">
        <v>5</v>
      </c>
      <c r="G32" s="7">
        <v>45933</v>
      </c>
      <c r="H32" s="26">
        <v>9716</v>
      </c>
      <c r="I32" s="16">
        <f>Table1[[#This Row],[SỐ LƯỢNG ]]*1000</f>
        <v>5000</v>
      </c>
      <c r="J32" s="16">
        <v>333333.33</v>
      </c>
      <c r="K32" s="16">
        <f>Table1[[#This Row],[SỐ LƯỢNG ]]*Table1[[#This Row],[ĐƠN GIÁ /1 KG]]</f>
        <v>1666666.6500000001</v>
      </c>
      <c r="L32" s="16"/>
      <c r="M32" s="23">
        <v>675</v>
      </c>
      <c r="N32" s="23">
        <v>675</v>
      </c>
      <c r="O32" s="23">
        <v>675</v>
      </c>
      <c r="P32" s="23">
        <v>675</v>
      </c>
      <c r="Q32" s="23">
        <v>675</v>
      </c>
      <c r="R32" s="23">
        <v>675</v>
      </c>
      <c r="S32" s="16"/>
      <c r="T32" s="16"/>
      <c r="U32" s="16"/>
      <c r="V32" s="16"/>
      <c r="W32" s="16"/>
      <c r="X32" s="16"/>
      <c r="Y32" s="16"/>
      <c r="Z32" s="16"/>
      <c r="AA32" s="16"/>
      <c r="AB32" s="16"/>
      <c r="AC32" s="16"/>
      <c r="AD32" s="16"/>
      <c r="AE32" s="16"/>
      <c r="AF32" s="16"/>
      <c r="AG32" s="16"/>
      <c r="AH32" s="16"/>
      <c r="AI32" s="16"/>
      <c r="AJ32" s="16"/>
      <c r="AK32" s="16"/>
      <c r="AL32" s="16"/>
      <c r="AM32" s="16"/>
      <c r="AN32" s="16"/>
      <c r="AO32" s="31">
        <f>Table1[[#This Row],[QUY ĐỔI GRAM]]-SUM(Table1[[#This Row],[XK ĐỒNG TÂM]:[XK LSX 8]])</f>
        <v>950</v>
      </c>
      <c r="AP32" s="31">
        <f>Table1[[#This Row],[CÒN LẠI (gram)]]*Table1[[#This Row],[ĐƠN GIÁ /1 KG]]/1000</f>
        <v>316666.66350000002</v>
      </c>
      <c r="AQ32" s="3" t="s">
        <v>39</v>
      </c>
      <c r="AR32" s="3" t="s">
        <v>103</v>
      </c>
      <c r="AS32" s="20">
        <v>20240903</v>
      </c>
      <c r="AT32" s="7">
        <v>45538</v>
      </c>
      <c r="AU32" s="7">
        <v>46268</v>
      </c>
    </row>
    <row r="33" spans="1:47" s="4" customFormat="1" ht="24" customHeight="1" x14ac:dyDescent="0.35">
      <c r="A33" s="5">
        <v>30</v>
      </c>
      <c r="B33" s="13" t="s">
        <v>64</v>
      </c>
      <c r="C33" s="3"/>
      <c r="D33" s="8" t="s">
        <v>447</v>
      </c>
      <c r="E33" s="15" t="s">
        <v>17</v>
      </c>
      <c r="F33" s="23">
        <v>10</v>
      </c>
      <c r="G33" s="7">
        <v>45933</v>
      </c>
      <c r="H33" s="26">
        <v>9716</v>
      </c>
      <c r="I33" s="16">
        <f>Table1[[#This Row],[SỐ LƯỢNG ]]*1000</f>
        <v>10000</v>
      </c>
      <c r="J33" s="16">
        <v>185185.19</v>
      </c>
      <c r="K33" s="16">
        <f>Table1[[#This Row],[SỐ LƯỢNG ]]*Table1[[#This Row],[ĐƠN GIÁ /1 KG]]</f>
        <v>1851851.9</v>
      </c>
      <c r="L33" s="16"/>
      <c r="M33" s="34">
        <v>1575.0000000000002</v>
      </c>
      <c r="N33" s="34">
        <v>1575.0000000000002</v>
      </c>
      <c r="O33" s="34">
        <v>1575.0000000000002</v>
      </c>
      <c r="P33" s="34">
        <v>1575.0000000000002</v>
      </c>
      <c r="Q33" s="34">
        <v>1575.0000000000002</v>
      </c>
      <c r="R33" s="34">
        <v>1575.0000000000002</v>
      </c>
      <c r="S33" s="16"/>
      <c r="T33" s="16"/>
      <c r="U33" s="16"/>
      <c r="V33" s="16"/>
      <c r="W33" s="16"/>
      <c r="X33" s="16"/>
      <c r="Y33" s="16"/>
      <c r="Z33" s="16"/>
      <c r="AA33" s="16"/>
      <c r="AB33" s="16"/>
      <c r="AC33" s="16"/>
      <c r="AD33" s="16">
        <v>450</v>
      </c>
      <c r="AE33" s="16"/>
      <c r="AF33" s="16"/>
      <c r="AG33" s="16"/>
      <c r="AH33" s="16"/>
      <c r="AI33" s="16"/>
      <c r="AJ33" s="16"/>
      <c r="AK33" s="16"/>
      <c r="AL33" s="16"/>
      <c r="AM33" s="16"/>
      <c r="AN33" s="16"/>
      <c r="AO33" s="31">
        <f>Table1[[#This Row],[QUY ĐỔI GRAM]]-SUM(Table1[[#This Row],[XK ĐỒNG TÂM]:[XK LSX 8]])</f>
        <v>99.999999999998181</v>
      </c>
      <c r="AP33" s="31">
        <f>Table1[[#This Row],[CÒN LẠI (gram)]]*Table1[[#This Row],[ĐƠN GIÁ /1 KG]]/1000</f>
        <v>18518.518999999666</v>
      </c>
      <c r="AQ33" s="3" t="s">
        <v>39</v>
      </c>
      <c r="AR33" s="3" t="s">
        <v>103</v>
      </c>
      <c r="AS33" s="20" t="s">
        <v>129</v>
      </c>
      <c r="AT33" s="7">
        <v>45686</v>
      </c>
      <c r="AU33" s="7">
        <v>46781</v>
      </c>
    </row>
    <row r="34" spans="1:47" s="4" customFormat="1" ht="24" customHeight="1" x14ac:dyDescent="0.35">
      <c r="A34" s="5">
        <v>31</v>
      </c>
      <c r="B34" s="13" t="s">
        <v>65</v>
      </c>
      <c r="C34" s="3"/>
      <c r="D34" s="8" t="s">
        <v>66</v>
      </c>
      <c r="E34" s="15" t="s">
        <v>17</v>
      </c>
      <c r="F34" s="23">
        <v>16</v>
      </c>
      <c r="G34" s="7">
        <v>45933</v>
      </c>
      <c r="H34" s="26">
        <v>2004</v>
      </c>
      <c r="I34" s="16">
        <f>Table1[[#This Row],[SỐ LƯỢNG ]]*1000</f>
        <v>16000</v>
      </c>
      <c r="J34" s="16">
        <v>740180</v>
      </c>
      <c r="K34" s="16">
        <f>Table1[[#This Row],[SỐ LƯỢNG ]]*Table1[[#This Row],[ĐƠN GIÁ /1 KG]]</f>
        <v>11842880</v>
      </c>
      <c r="L34" s="16"/>
      <c r="M34" s="16">
        <v>2250</v>
      </c>
      <c r="N34" s="16">
        <v>2250</v>
      </c>
      <c r="O34" s="16">
        <v>2250</v>
      </c>
      <c r="P34" s="16">
        <v>2250</v>
      </c>
      <c r="Q34" s="16">
        <v>2250</v>
      </c>
      <c r="R34" s="16">
        <v>2250</v>
      </c>
      <c r="S34" s="16"/>
      <c r="T34" s="16"/>
      <c r="U34" s="16"/>
      <c r="V34" s="16"/>
      <c r="W34" s="16"/>
      <c r="X34" s="16"/>
      <c r="Y34" s="16"/>
      <c r="Z34" s="16"/>
      <c r="AA34" s="16"/>
      <c r="AB34" s="16"/>
      <c r="AC34" s="16"/>
      <c r="AD34" s="16"/>
      <c r="AE34" s="16"/>
      <c r="AF34" s="16"/>
      <c r="AG34" s="16"/>
      <c r="AH34" s="16"/>
      <c r="AI34" s="16"/>
      <c r="AJ34" s="16"/>
      <c r="AK34" s="16"/>
      <c r="AL34" s="16"/>
      <c r="AM34" s="16"/>
      <c r="AN34" s="16"/>
      <c r="AO34" s="31">
        <f>Table1[[#This Row],[QUY ĐỔI GRAM]]-SUM(Table1[[#This Row],[XK ĐỒNG TÂM]:[XK LSX 8]])</f>
        <v>2500</v>
      </c>
      <c r="AP34" s="31">
        <f>Table1[[#This Row],[CÒN LẠI (gram)]]*Table1[[#This Row],[ĐƠN GIÁ /1 KG]]/1000</f>
        <v>1850450</v>
      </c>
      <c r="AQ34" s="3" t="s">
        <v>67</v>
      </c>
      <c r="AR34" s="3" t="s">
        <v>103</v>
      </c>
      <c r="AS34" s="20" t="s">
        <v>110</v>
      </c>
      <c r="AT34" s="7">
        <v>45680</v>
      </c>
      <c r="AU34" s="7">
        <v>46775</v>
      </c>
    </row>
    <row r="35" spans="1:47" s="4" customFormat="1" ht="24" customHeight="1" x14ac:dyDescent="0.35">
      <c r="A35" s="5">
        <v>32</v>
      </c>
      <c r="B35" s="13" t="s">
        <v>68</v>
      </c>
      <c r="C35" s="3" t="s">
        <v>75</v>
      </c>
      <c r="D35" s="8" t="s">
        <v>51</v>
      </c>
      <c r="E35" s="15" t="s">
        <v>17</v>
      </c>
      <c r="F35" s="23">
        <v>25</v>
      </c>
      <c r="G35" s="7">
        <v>45936</v>
      </c>
      <c r="H35" s="26">
        <v>2438</v>
      </c>
      <c r="I35" s="16">
        <f>Table1[[#This Row],[SỐ LƯỢNG ]]*1000</f>
        <v>25000</v>
      </c>
      <c r="J35" s="16">
        <v>845440</v>
      </c>
      <c r="K35" s="16">
        <f>Table1[[#This Row],[SỐ LƯỢNG ]]*Table1[[#This Row],[ĐƠN GIÁ /1 KG]]</f>
        <v>21136000</v>
      </c>
      <c r="L35" s="16"/>
      <c r="M35" s="16">
        <v>2250</v>
      </c>
      <c r="N35" s="16">
        <v>2250</v>
      </c>
      <c r="O35" s="16">
        <v>2250</v>
      </c>
      <c r="P35" s="16">
        <v>2250</v>
      </c>
      <c r="Q35" s="16">
        <v>2250</v>
      </c>
      <c r="R35" s="16">
        <v>2250</v>
      </c>
      <c r="S35" s="16"/>
      <c r="T35" s="16"/>
      <c r="U35" s="16"/>
      <c r="V35" s="16"/>
      <c r="W35" s="16"/>
      <c r="X35" s="16"/>
      <c r="Y35" s="16"/>
      <c r="Z35" s="16"/>
      <c r="AA35" s="16"/>
      <c r="AB35" s="16"/>
      <c r="AC35" s="16"/>
      <c r="AD35" s="16"/>
      <c r="AE35" s="16"/>
      <c r="AF35" s="16"/>
      <c r="AG35" s="16"/>
      <c r="AH35" s="16"/>
      <c r="AI35" s="16"/>
      <c r="AJ35" s="16"/>
      <c r="AK35" s="16"/>
      <c r="AL35" s="16"/>
      <c r="AM35" s="16"/>
      <c r="AN35" s="16"/>
      <c r="AO35" s="31">
        <f>Table1[[#This Row],[QUY ĐỔI GRAM]]-SUM(Table1[[#This Row],[XK ĐỒNG TÂM]:[XK LSX 8]])</f>
        <v>11500</v>
      </c>
      <c r="AP35" s="31">
        <f>Table1[[#This Row],[CÒN LẠI (gram)]]*Table1[[#This Row],[ĐƠN GIÁ /1 KG]]/1000</f>
        <v>9722560</v>
      </c>
      <c r="AQ35" s="3" t="s">
        <v>28</v>
      </c>
      <c r="AR35" s="3" t="s">
        <v>103</v>
      </c>
      <c r="AS35" s="20" t="s">
        <v>109</v>
      </c>
      <c r="AT35" s="7">
        <v>45784</v>
      </c>
      <c r="AU35" s="7">
        <v>46880</v>
      </c>
    </row>
    <row r="36" spans="1:47" s="4" customFormat="1" ht="24" customHeight="1" x14ac:dyDescent="0.35">
      <c r="A36" s="5">
        <v>33</v>
      </c>
      <c r="B36" s="13" t="s">
        <v>69</v>
      </c>
      <c r="C36" s="3"/>
      <c r="D36" s="8" t="s">
        <v>70</v>
      </c>
      <c r="E36" s="15" t="s">
        <v>17</v>
      </c>
      <c r="F36" s="23">
        <v>5</v>
      </c>
      <c r="G36" s="7">
        <v>45937</v>
      </c>
      <c r="H36" s="26">
        <v>9911</v>
      </c>
      <c r="I36" s="16">
        <f>Table1[[#This Row],[SỐ LƯỢNG ]]*1000</f>
        <v>5000</v>
      </c>
      <c r="J36" s="16">
        <v>351852</v>
      </c>
      <c r="K36" s="16">
        <f>Table1[[#This Row],[SỐ LƯỢNG ]]*Table1[[#This Row],[ĐƠN GIÁ /1 KG]]</f>
        <v>1759260</v>
      </c>
      <c r="L36" s="16"/>
      <c r="M36" s="16"/>
      <c r="N36" s="16"/>
      <c r="O36" s="16"/>
      <c r="P36" s="16"/>
      <c r="Q36" s="16"/>
      <c r="R36" s="16"/>
      <c r="S36" s="16">
        <v>3000</v>
      </c>
      <c r="T36" s="16"/>
      <c r="U36" s="16"/>
      <c r="V36" s="16"/>
      <c r="W36" s="16"/>
      <c r="X36" s="16"/>
      <c r="Y36" s="16"/>
      <c r="Z36" s="16"/>
      <c r="AA36" s="16"/>
      <c r="AB36" s="16"/>
      <c r="AC36" s="16"/>
      <c r="AD36" s="16"/>
      <c r="AE36" s="16"/>
      <c r="AF36" s="16"/>
      <c r="AG36" s="16"/>
      <c r="AH36" s="16"/>
      <c r="AI36" s="16"/>
      <c r="AJ36" s="16"/>
      <c r="AK36" s="16"/>
      <c r="AL36" s="16"/>
      <c r="AM36" s="16"/>
      <c r="AN36" s="16"/>
      <c r="AO36" s="31">
        <f>Table1[[#This Row],[QUY ĐỔI GRAM]]-SUM(Table1[[#This Row],[XK ĐỒNG TÂM]:[XK LSX 8]])</f>
        <v>2000</v>
      </c>
      <c r="AP36" s="31">
        <f>Table1[[#This Row],[CÒN LẠI (gram)]]*Table1[[#This Row],[ĐƠN GIÁ /1 KG]]/1000</f>
        <v>703704</v>
      </c>
      <c r="AQ36" s="3" t="s">
        <v>39</v>
      </c>
      <c r="AR36" s="3" t="s">
        <v>103</v>
      </c>
      <c r="AS36" s="20" t="s">
        <v>120</v>
      </c>
      <c r="AT36" s="7">
        <v>45671</v>
      </c>
      <c r="AU36" s="7">
        <v>46418</v>
      </c>
    </row>
    <row r="37" spans="1:47" s="4" customFormat="1" ht="24" customHeight="1" x14ac:dyDescent="0.35">
      <c r="A37" s="5">
        <v>34</v>
      </c>
      <c r="B37" s="13" t="s">
        <v>71</v>
      </c>
      <c r="C37" s="3" t="s">
        <v>73</v>
      </c>
      <c r="D37" s="8" t="s">
        <v>72</v>
      </c>
      <c r="E37" s="15" t="s">
        <v>17</v>
      </c>
      <c r="F37" s="23">
        <v>30</v>
      </c>
      <c r="G37" s="7">
        <v>45937</v>
      </c>
      <c r="H37" s="26">
        <v>9911</v>
      </c>
      <c r="I37" s="16">
        <f>Table1[[#This Row],[SỐ LƯỢNG ]]*1000</f>
        <v>30000</v>
      </c>
      <c r="J37" s="16">
        <v>46296</v>
      </c>
      <c r="K37" s="16">
        <f>Table1[[#This Row],[SỐ LƯỢNG ]]*Table1[[#This Row],[ĐƠN GIÁ /1 KG]]</f>
        <v>1388880</v>
      </c>
      <c r="L37" s="16">
        <v>3000</v>
      </c>
      <c r="M37" s="24">
        <v>675</v>
      </c>
      <c r="N37" s="24">
        <v>675</v>
      </c>
      <c r="O37" s="24">
        <v>675</v>
      </c>
      <c r="P37" s="24">
        <v>675</v>
      </c>
      <c r="Q37" s="24">
        <v>675</v>
      </c>
      <c r="R37" s="24">
        <v>675</v>
      </c>
      <c r="S37" s="16">
        <v>22950</v>
      </c>
      <c r="T37" s="16"/>
      <c r="U37" s="16"/>
      <c r="V37" s="16"/>
      <c r="W37" s="16"/>
      <c r="X37" s="16"/>
      <c r="Y37" s="16"/>
      <c r="Z37" s="16"/>
      <c r="AA37" s="16"/>
      <c r="AB37" s="16"/>
      <c r="AC37" s="16"/>
      <c r="AD37" s="16"/>
      <c r="AE37" s="16"/>
      <c r="AF37" s="16"/>
      <c r="AG37" s="16"/>
      <c r="AH37" s="16"/>
      <c r="AI37" s="16"/>
      <c r="AJ37" s="16"/>
      <c r="AK37" s="16"/>
      <c r="AL37" s="16"/>
      <c r="AM37" s="16"/>
      <c r="AN37" s="16"/>
      <c r="AO37" s="31">
        <f>Table1[[#This Row],[QUY ĐỔI GRAM]]-SUM(Table1[[#This Row],[XK ĐỒNG TÂM]:[XK LSX 8]])</f>
        <v>0</v>
      </c>
      <c r="AP37" s="31">
        <f>Table1[[#This Row],[CÒN LẠI (gram)]]*Table1[[#This Row],[ĐƠN GIÁ /1 KG]]/1000</f>
        <v>0</v>
      </c>
      <c r="AQ37" s="3" t="s">
        <v>39</v>
      </c>
      <c r="AR37" s="3" t="s">
        <v>103</v>
      </c>
      <c r="AS37" s="21" t="s">
        <v>128</v>
      </c>
      <c r="AT37" s="7">
        <v>45786</v>
      </c>
      <c r="AU37" s="7">
        <v>46335</v>
      </c>
    </row>
    <row r="38" spans="1:47" s="4" customFormat="1" ht="24" customHeight="1" x14ac:dyDescent="0.35">
      <c r="A38" s="5">
        <v>35</v>
      </c>
      <c r="B38" s="13" t="s">
        <v>71</v>
      </c>
      <c r="C38" s="3" t="s">
        <v>73</v>
      </c>
      <c r="D38" s="8" t="s">
        <v>72</v>
      </c>
      <c r="E38" s="15" t="s">
        <v>17</v>
      </c>
      <c r="F38" s="23">
        <v>30</v>
      </c>
      <c r="G38" s="7">
        <v>45958</v>
      </c>
      <c r="H38" s="26">
        <v>10903</v>
      </c>
      <c r="I38" s="16">
        <f>Table1[[#This Row],[SỐ LƯỢNG ]]*1000</f>
        <v>30000</v>
      </c>
      <c r="J38" s="16">
        <v>46296</v>
      </c>
      <c r="K38" s="16">
        <f>Table1[[#This Row],[SỐ LƯỢNG ]]*Table1[[#This Row],[ĐƠN GIÁ /1 KG]]</f>
        <v>1388880</v>
      </c>
      <c r="L38" s="16"/>
      <c r="M38" s="16"/>
      <c r="N38" s="16"/>
      <c r="O38" s="16"/>
      <c r="P38" s="16"/>
      <c r="Q38" s="16"/>
      <c r="R38" s="16"/>
      <c r="S38" s="16">
        <v>30000</v>
      </c>
      <c r="T38" s="16"/>
      <c r="U38" s="16"/>
      <c r="V38" s="16"/>
      <c r="W38" s="16"/>
      <c r="X38" s="16"/>
      <c r="Y38" s="16"/>
      <c r="Z38" s="16"/>
      <c r="AA38" s="16"/>
      <c r="AB38" s="16"/>
      <c r="AC38" s="16"/>
      <c r="AD38" s="16"/>
      <c r="AE38" s="16"/>
      <c r="AF38" s="16"/>
      <c r="AG38" s="16"/>
      <c r="AH38" s="16"/>
      <c r="AI38" s="16"/>
      <c r="AJ38" s="16"/>
      <c r="AK38" s="16"/>
      <c r="AL38" s="16"/>
      <c r="AM38" s="16"/>
      <c r="AN38" s="16"/>
      <c r="AO38" s="31">
        <f>Table1[[#This Row],[QUY ĐỔI GRAM]]-SUM(Table1[[#This Row],[XK ĐỒNG TÂM]:[XK LSX 8]])</f>
        <v>0</v>
      </c>
      <c r="AP38" s="31">
        <f>Table1[[#This Row],[CÒN LẠI (gram)]]*Table1[[#This Row],[ĐƠN GIÁ /1 KG]]/1000</f>
        <v>0</v>
      </c>
      <c r="AQ38" s="3" t="s">
        <v>39</v>
      </c>
      <c r="AR38" s="3" t="s">
        <v>103</v>
      </c>
      <c r="AS38" s="21" t="s">
        <v>128</v>
      </c>
      <c r="AT38" s="3"/>
      <c r="AU38" s="3"/>
    </row>
    <row r="39" spans="1:47" s="4" customFormat="1" ht="24" customHeight="1" x14ac:dyDescent="0.35">
      <c r="A39" s="5">
        <v>36</v>
      </c>
      <c r="B39" s="13" t="s">
        <v>74</v>
      </c>
      <c r="C39" s="3"/>
      <c r="D39" s="8" t="s">
        <v>98</v>
      </c>
      <c r="E39" s="15" t="s">
        <v>17</v>
      </c>
      <c r="F39" s="23">
        <v>25</v>
      </c>
      <c r="G39" s="7">
        <v>45939</v>
      </c>
      <c r="H39" s="26">
        <v>2497</v>
      </c>
      <c r="I39" s="16">
        <f>Table1[[#This Row],[SỐ LƯỢNG ]]*1000</f>
        <v>25000</v>
      </c>
      <c r="J39" s="16">
        <v>274414.40000000002</v>
      </c>
      <c r="K39" s="16">
        <f>Table1[[#This Row],[SỐ LƯỢNG ]]*Table1[[#This Row],[ĐƠN GIÁ /1 KG]]</f>
        <v>6860360.0000000009</v>
      </c>
      <c r="L39" s="16">
        <v>3000</v>
      </c>
      <c r="M39" s="16"/>
      <c r="N39" s="16"/>
      <c r="O39" s="16"/>
      <c r="P39" s="16"/>
      <c r="Q39" s="16"/>
      <c r="R39" s="16"/>
      <c r="S39" s="16">
        <v>18000</v>
      </c>
      <c r="T39" s="16"/>
      <c r="U39" s="16"/>
      <c r="V39" s="16">
        <v>3000</v>
      </c>
      <c r="W39" s="16"/>
      <c r="X39" s="16"/>
      <c r="Y39" s="16"/>
      <c r="Z39" s="16"/>
      <c r="AA39" s="16"/>
      <c r="AB39" s="16"/>
      <c r="AC39" s="16"/>
      <c r="AD39" s="16"/>
      <c r="AE39" s="16"/>
      <c r="AF39" s="16"/>
      <c r="AG39" s="16"/>
      <c r="AH39" s="16"/>
      <c r="AI39" s="16"/>
      <c r="AJ39" s="16"/>
      <c r="AK39" s="16"/>
      <c r="AL39" s="16"/>
      <c r="AM39" s="16"/>
      <c r="AN39" s="16"/>
      <c r="AO39" s="31">
        <f>Table1[[#This Row],[QUY ĐỔI GRAM]]-SUM(Table1[[#This Row],[XK ĐỒNG TÂM]:[XK LSX 8]])</f>
        <v>1000</v>
      </c>
      <c r="AP39" s="31">
        <f>Table1[[#This Row],[CÒN LẠI (gram)]]*Table1[[#This Row],[ĐƠN GIÁ /1 KG]]/1000</f>
        <v>274414.40000000002</v>
      </c>
      <c r="AQ39" s="3" t="s">
        <v>28</v>
      </c>
      <c r="AR39" s="3" t="s">
        <v>103</v>
      </c>
      <c r="AS39" s="20">
        <v>24207155</v>
      </c>
      <c r="AT39" s="7">
        <v>45856</v>
      </c>
      <c r="AU39" s="7">
        <v>46220</v>
      </c>
    </row>
    <row r="40" spans="1:47" s="4" customFormat="1" ht="24" customHeight="1" x14ac:dyDescent="0.35">
      <c r="A40" s="5">
        <v>37</v>
      </c>
      <c r="B40" s="13" t="s">
        <v>76</v>
      </c>
      <c r="C40" s="3" t="s">
        <v>77</v>
      </c>
      <c r="D40" s="8" t="s">
        <v>414</v>
      </c>
      <c r="E40" s="15" t="s">
        <v>17</v>
      </c>
      <c r="F40" s="23">
        <v>1</v>
      </c>
      <c r="G40" s="7">
        <v>45944</v>
      </c>
      <c r="H40" s="26">
        <v>2505</v>
      </c>
      <c r="I40" s="16">
        <f>Table1[[#This Row],[SỐ LƯỢNG ]]*1000</f>
        <v>1000</v>
      </c>
      <c r="J40" s="16">
        <v>6539512</v>
      </c>
      <c r="K40" s="16">
        <f>Table1[[#This Row],[SỐ LƯỢNG ]]*Table1[[#This Row],[ĐƠN GIÁ /1 KG]]</f>
        <v>6539512</v>
      </c>
      <c r="L40" s="16"/>
      <c r="M40" s="160">
        <v>315</v>
      </c>
      <c r="N40" s="108">
        <v>270</v>
      </c>
      <c r="O40" s="108">
        <v>315</v>
      </c>
      <c r="P40" s="108">
        <v>100</v>
      </c>
      <c r="Q40" s="108"/>
      <c r="R40" s="108"/>
      <c r="S40" s="108"/>
      <c r="T40" s="16"/>
      <c r="U40" s="16"/>
      <c r="V40" s="16"/>
      <c r="W40" s="16"/>
      <c r="X40" s="16"/>
      <c r="Y40" s="16"/>
      <c r="Z40" s="16"/>
      <c r="AA40" s="16"/>
      <c r="AB40" s="16"/>
      <c r="AC40" s="16"/>
      <c r="AD40" s="16"/>
      <c r="AE40" s="16"/>
      <c r="AF40" s="16"/>
      <c r="AG40" s="16"/>
      <c r="AH40" s="16"/>
      <c r="AI40" s="16"/>
      <c r="AJ40" s="16"/>
      <c r="AK40" s="16"/>
      <c r="AL40" s="16"/>
      <c r="AM40" s="16"/>
      <c r="AN40" s="16"/>
      <c r="AO40" s="31">
        <f>Table1[[#This Row],[QUY ĐỔI GRAM]]-SUM(Table1[[#This Row],[XK ĐỒNG TÂM]:[XK LSX 8]])</f>
        <v>0</v>
      </c>
      <c r="AP40" s="31">
        <f>Table1[[#This Row],[CÒN LẠI (gram)]]*Table1[[#This Row],[ĐƠN GIÁ /1 KG]]/1000</f>
        <v>0</v>
      </c>
      <c r="AQ40" s="3" t="s">
        <v>78</v>
      </c>
      <c r="AR40" s="3" t="s">
        <v>104</v>
      </c>
      <c r="AS40" s="20"/>
      <c r="AT40" s="3"/>
      <c r="AU40" s="3"/>
    </row>
    <row r="41" spans="1:47" s="4" customFormat="1" ht="24" customHeight="1" x14ac:dyDescent="0.35">
      <c r="A41" s="5">
        <v>38</v>
      </c>
      <c r="B41" s="3" t="s">
        <v>79</v>
      </c>
      <c r="C41" s="3"/>
      <c r="D41" s="8"/>
      <c r="E41" s="15" t="s">
        <v>80</v>
      </c>
      <c r="F41" s="23">
        <v>1026</v>
      </c>
      <c r="G41" s="7">
        <v>45945</v>
      </c>
      <c r="H41" s="26">
        <v>31</v>
      </c>
      <c r="I41" s="16"/>
      <c r="J41" s="16">
        <v>10500</v>
      </c>
      <c r="K41" s="16">
        <f>Table1[[#This Row],[SỐ LƯỢNG ]]*Table1[[#This Row],[ĐƠN GIÁ /1 KG]]</f>
        <v>10773000</v>
      </c>
      <c r="L41" s="16"/>
      <c r="M41" s="16"/>
      <c r="N41" s="16"/>
      <c r="O41" s="16"/>
      <c r="P41" s="16"/>
      <c r="Q41" s="16"/>
      <c r="R41" s="16"/>
      <c r="S41" s="16"/>
      <c r="T41" s="16"/>
      <c r="U41" s="16"/>
      <c r="V41" s="16"/>
      <c r="W41" s="16"/>
      <c r="X41" s="16"/>
      <c r="Y41" s="16"/>
      <c r="Z41" s="16"/>
      <c r="AA41" s="16"/>
      <c r="AB41" s="16">
        <v>1026</v>
      </c>
      <c r="AC41" s="16"/>
      <c r="AD41" s="16"/>
      <c r="AE41" s="16"/>
      <c r="AF41" s="16"/>
      <c r="AG41" s="16"/>
      <c r="AH41" s="16"/>
      <c r="AI41" s="16"/>
      <c r="AJ41" s="16"/>
      <c r="AK41" s="16"/>
      <c r="AL41" s="16"/>
      <c r="AM41" s="16"/>
      <c r="AN41" s="16"/>
      <c r="AO41" s="51">
        <f>Table1[[#This Row],[SỐ LƯỢNG ]]-SUM(Table1[[#This Row],[XK ĐỒNG TÂM]:[XK LSX 8]])</f>
        <v>0</v>
      </c>
      <c r="AP41" s="51">
        <f>Table1[[#This Row],[CÒN LẠI (gram)]]*Table1[[#This Row],[ĐƠN GIÁ /1 KG]]</f>
        <v>0</v>
      </c>
      <c r="AQ41" s="3" t="s">
        <v>81</v>
      </c>
      <c r="AR41" s="3"/>
      <c r="AS41" s="20"/>
      <c r="AT41" s="3"/>
      <c r="AU41" s="3"/>
    </row>
    <row r="42" spans="1:47" s="4" customFormat="1" ht="24" customHeight="1" x14ac:dyDescent="0.35">
      <c r="A42" s="5">
        <v>39</v>
      </c>
      <c r="B42" s="3" t="s">
        <v>84</v>
      </c>
      <c r="C42" s="3"/>
      <c r="D42" s="8"/>
      <c r="E42" s="15" t="s">
        <v>82</v>
      </c>
      <c r="F42" s="23">
        <v>1000</v>
      </c>
      <c r="G42" s="7">
        <v>45945</v>
      </c>
      <c r="H42" s="26">
        <v>12341</v>
      </c>
      <c r="I42" s="16"/>
      <c r="J42" s="16">
        <v>470</v>
      </c>
      <c r="K42" s="16">
        <f>Table1[[#This Row],[SỐ LƯỢNG ]]*Table1[[#This Row],[ĐƠN GIÁ /1 KG]]</f>
        <v>470000</v>
      </c>
      <c r="L42" s="16"/>
      <c r="M42" s="16"/>
      <c r="N42" s="16"/>
      <c r="O42" s="16"/>
      <c r="P42" s="16"/>
      <c r="Q42" s="16"/>
      <c r="R42" s="16"/>
      <c r="S42" s="16"/>
      <c r="T42" s="16"/>
      <c r="U42" s="16"/>
      <c r="V42" s="16"/>
      <c r="W42" s="16"/>
      <c r="X42" s="16"/>
      <c r="Y42" s="16"/>
      <c r="Z42" s="16"/>
      <c r="AA42" s="16"/>
      <c r="AB42" s="16"/>
      <c r="AC42" s="16">
        <v>1000</v>
      </c>
      <c r="AD42" s="16"/>
      <c r="AE42" s="16"/>
      <c r="AF42" s="16"/>
      <c r="AG42" s="16"/>
      <c r="AH42" s="16"/>
      <c r="AI42" s="16"/>
      <c r="AJ42" s="16"/>
      <c r="AK42" s="16"/>
      <c r="AL42" s="16"/>
      <c r="AM42" s="16"/>
      <c r="AN42" s="16"/>
      <c r="AO42" s="51">
        <f>Table1[[#This Row],[SỐ LƯỢNG ]]-SUM(Table1[[#This Row],[XK ĐỒNG TÂM]:[XK LSX 8]])</f>
        <v>0</v>
      </c>
      <c r="AP42" s="51">
        <f>Table1[[#This Row],[CÒN LẠI (gram)]]*Table1[[#This Row],[ĐƠN GIÁ /1 KG]]</f>
        <v>0</v>
      </c>
      <c r="AQ42" s="3" t="s">
        <v>33</v>
      </c>
      <c r="AR42" s="3"/>
      <c r="AS42" s="20"/>
      <c r="AT42" s="3"/>
      <c r="AU42" s="3"/>
    </row>
    <row r="43" spans="1:47" s="4" customFormat="1" ht="24" customHeight="1" x14ac:dyDescent="0.35">
      <c r="A43" s="5">
        <v>40</v>
      </c>
      <c r="B43" s="3" t="s">
        <v>83</v>
      </c>
      <c r="C43" s="3"/>
      <c r="D43" s="8"/>
      <c r="E43" s="15" t="s">
        <v>82</v>
      </c>
      <c r="F43" s="23">
        <v>2000</v>
      </c>
      <c r="G43" s="7">
        <v>45945</v>
      </c>
      <c r="H43" s="26">
        <v>12341</v>
      </c>
      <c r="I43" s="16"/>
      <c r="J43" s="16">
        <v>175</v>
      </c>
      <c r="K43" s="16">
        <f>Table1[[#This Row],[SỐ LƯỢNG ]]*Table1[[#This Row],[ĐƠN GIÁ /1 KG]]</f>
        <v>350000</v>
      </c>
      <c r="L43" s="16"/>
      <c r="M43" s="16"/>
      <c r="N43" s="16"/>
      <c r="O43" s="16"/>
      <c r="P43" s="16"/>
      <c r="Q43" s="16"/>
      <c r="R43" s="16"/>
      <c r="S43" s="16"/>
      <c r="T43" s="16">
        <v>200</v>
      </c>
      <c r="U43" s="16">
        <v>200</v>
      </c>
      <c r="V43" s="16"/>
      <c r="W43" s="16"/>
      <c r="X43" s="16"/>
      <c r="Y43" s="16"/>
      <c r="Z43" s="16"/>
      <c r="AA43" s="16"/>
      <c r="AB43" s="16"/>
      <c r="AC43" s="16"/>
      <c r="AD43" s="16"/>
      <c r="AE43" s="16"/>
      <c r="AF43" s="16"/>
      <c r="AG43" s="16"/>
      <c r="AH43" s="16"/>
      <c r="AI43" s="16"/>
      <c r="AJ43" s="16"/>
      <c r="AK43" s="16"/>
      <c r="AL43" s="16"/>
      <c r="AM43" s="16"/>
      <c r="AN43" s="16"/>
      <c r="AO43" s="51">
        <f>Table1[[#This Row],[SỐ LƯỢNG ]]-SUM(Table1[[#This Row],[XK ĐỒNG TÂM]:[XK LSX 8]])</f>
        <v>1600</v>
      </c>
      <c r="AP43" s="51">
        <f>Table1[[#This Row],[CÒN LẠI (gram)]]*Table1[[#This Row],[ĐƠN GIÁ /1 KG]]</f>
        <v>280000</v>
      </c>
      <c r="AQ43" s="3" t="s">
        <v>33</v>
      </c>
      <c r="AR43" s="3"/>
      <c r="AS43" s="20"/>
      <c r="AT43" s="3"/>
      <c r="AU43" s="3"/>
    </row>
    <row r="44" spans="1:47" s="4" customFormat="1" ht="24" customHeight="1" x14ac:dyDescent="0.35">
      <c r="A44" s="5">
        <v>41</v>
      </c>
      <c r="B44" s="3" t="s">
        <v>437</v>
      </c>
      <c r="C44" s="3"/>
      <c r="D44" s="8"/>
      <c r="E44" s="15" t="s">
        <v>80</v>
      </c>
      <c r="F44" s="23">
        <v>1200</v>
      </c>
      <c r="G44" s="7">
        <v>45946</v>
      </c>
      <c r="H44" s="26">
        <v>347</v>
      </c>
      <c r="I44" s="16"/>
      <c r="J44" s="16">
        <v>17500</v>
      </c>
      <c r="K44" s="16">
        <f>Table1[[#This Row],[SỐ LƯỢNG ]]*Table1[[#This Row],[ĐƠN GIÁ /1 KG]]</f>
        <v>21000000</v>
      </c>
      <c r="L44" s="16"/>
      <c r="M44" s="16"/>
      <c r="N44" s="16"/>
      <c r="O44" s="16"/>
      <c r="P44" s="16"/>
      <c r="Q44" s="16"/>
      <c r="R44" s="16"/>
      <c r="S44" s="16"/>
      <c r="T44" s="16">
        <v>1200</v>
      </c>
      <c r="U44" s="16"/>
      <c r="V44" s="16"/>
      <c r="W44" s="16"/>
      <c r="X44" s="16"/>
      <c r="Y44" s="16"/>
      <c r="Z44" s="16"/>
      <c r="AA44" s="16"/>
      <c r="AB44" s="16"/>
      <c r="AC44" s="16"/>
      <c r="AD44" s="16"/>
      <c r="AE44" s="16"/>
      <c r="AF44" s="16"/>
      <c r="AG44" s="16"/>
      <c r="AH44" s="16"/>
      <c r="AI44" s="16"/>
      <c r="AJ44" s="16"/>
      <c r="AK44" s="16"/>
      <c r="AL44" s="16"/>
      <c r="AM44" s="16"/>
      <c r="AN44" s="16"/>
      <c r="AO44" s="51">
        <f>Table1[[#This Row],[SỐ LƯỢNG ]]-SUM(Table1[[#This Row],[XK ĐỒNG TÂM]:[XK LSX 8]])</f>
        <v>0</v>
      </c>
      <c r="AP44" s="51">
        <f>Table1[[#This Row],[CÒN LẠI (gram)]]*Table1[[#This Row],[ĐƠN GIÁ /1 KG]]</f>
        <v>0</v>
      </c>
      <c r="AQ44" s="3" t="s">
        <v>85</v>
      </c>
      <c r="AR44" s="3"/>
      <c r="AS44" s="20"/>
      <c r="AT44" s="3"/>
      <c r="AU44" s="3"/>
    </row>
    <row r="45" spans="1:47" s="4" customFormat="1" ht="24" customHeight="1" x14ac:dyDescent="0.35">
      <c r="A45" s="5">
        <v>42</v>
      </c>
      <c r="B45" s="13" t="s">
        <v>86</v>
      </c>
      <c r="C45" s="3"/>
      <c r="D45" s="8" t="s">
        <v>87</v>
      </c>
      <c r="E45" s="15" t="s">
        <v>17</v>
      </c>
      <c r="F45" s="23">
        <v>50</v>
      </c>
      <c r="G45" s="7">
        <v>45946</v>
      </c>
      <c r="H45" s="26">
        <v>2557</v>
      </c>
      <c r="I45" s="16">
        <f>Table1[[#This Row],[SỐ LƯỢNG ]]*1000</f>
        <v>50000</v>
      </c>
      <c r="J45" s="16">
        <v>250505.5</v>
      </c>
      <c r="K45" s="16">
        <f>Table1[[#This Row],[SỐ LƯỢNG ]]*Table1[[#This Row],[ĐƠN GIÁ /1 KG]]</f>
        <v>12525275</v>
      </c>
      <c r="L45" s="16">
        <v>150</v>
      </c>
      <c r="M45" s="33">
        <v>112.5</v>
      </c>
      <c r="N45" s="33">
        <v>112.5</v>
      </c>
      <c r="O45" s="33">
        <v>112.5</v>
      </c>
      <c r="P45" s="33">
        <v>112.5</v>
      </c>
      <c r="Q45" s="33">
        <v>112.5</v>
      </c>
      <c r="R45" s="33">
        <v>112.5</v>
      </c>
      <c r="S45" s="16"/>
      <c r="T45" s="16">
        <v>200</v>
      </c>
      <c r="U45" s="16">
        <v>60</v>
      </c>
      <c r="V45" s="16">
        <v>300</v>
      </c>
      <c r="W45" s="16">
        <v>1003</v>
      </c>
      <c r="X45" s="16">
        <v>1500</v>
      </c>
      <c r="Y45" s="24">
        <v>502.25</v>
      </c>
      <c r="Z45" s="16">
        <v>1500</v>
      </c>
      <c r="AA45" s="24">
        <v>156.75</v>
      </c>
      <c r="AB45" s="23">
        <v>256.5</v>
      </c>
      <c r="AC45" s="24">
        <v>255.75</v>
      </c>
      <c r="AD45" s="24">
        <v>105</v>
      </c>
      <c r="AE45" s="24">
        <v>1013</v>
      </c>
      <c r="AF45" s="24"/>
      <c r="AG45" s="24"/>
      <c r="AH45" s="24">
        <v>2000</v>
      </c>
      <c r="AI45" s="24"/>
      <c r="AJ45" s="24"/>
      <c r="AK45" s="24"/>
      <c r="AL45" s="24"/>
      <c r="AM45" s="24"/>
      <c r="AN45" s="16"/>
      <c r="AO45" s="120">
        <f>Table1[[#This Row],[QUY ĐỔI GRAM]]-SUM(Table1[[#This Row],[XK ĐỒNG TÂM]:[XK LSX 8]])</f>
        <v>40322.75</v>
      </c>
      <c r="AP45" s="31">
        <f>Table1[[#This Row],[CÒN LẠI (gram)]]*Table1[[#This Row],[ĐƠN GIÁ /1 KG]]/1000</f>
        <v>10101070.650125001</v>
      </c>
      <c r="AQ45" s="3" t="s">
        <v>28</v>
      </c>
      <c r="AR45" s="3" t="s">
        <v>103</v>
      </c>
      <c r="AS45" s="20" t="s">
        <v>108</v>
      </c>
      <c r="AT45" s="7">
        <v>45913</v>
      </c>
      <c r="AU45" s="7">
        <v>46459</v>
      </c>
    </row>
    <row r="46" spans="1:47" s="4" customFormat="1" ht="24" customHeight="1" x14ac:dyDescent="0.35">
      <c r="A46" s="5">
        <v>43</v>
      </c>
      <c r="B46" s="3" t="s">
        <v>244</v>
      </c>
      <c r="C46" s="3"/>
      <c r="D46" s="8"/>
      <c r="E46" s="15" t="s">
        <v>80</v>
      </c>
      <c r="F46" s="23">
        <v>2000</v>
      </c>
      <c r="G46" s="7">
        <v>45953</v>
      </c>
      <c r="H46" s="26">
        <v>421</v>
      </c>
      <c r="I46" s="16"/>
      <c r="J46" s="16">
        <v>7500</v>
      </c>
      <c r="K46" s="16">
        <f>Table1[[#This Row],[SỐ LƯỢNG ]]*Table1[[#This Row],[ĐƠN GIÁ /1 KG]]</f>
        <v>15000000</v>
      </c>
      <c r="L46" s="16"/>
      <c r="M46" s="16"/>
      <c r="N46" s="16"/>
      <c r="O46" s="16"/>
      <c r="P46" s="16"/>
      <c r="Q46" s="16"/>
      <c r="R46" s="16"/>
      <c r="S46" s="16"/>
      <c r="T46" s="16"/>
      <c r="U46" s="16"/>
      <c r="V46" s="16"/>
      <c r="W46" s="16"/>
      <c r="X46" s="16"/>
      <c r="Y46" s="16"/>
      <c r="Z46" s="16"/>
      <c r="AA46" s="16"/>
      <c r="AB46" s="16"/>
      <c r="AC46" s="16">
        <v>2000</v>
      </c>
      <c r="AD46" s="16"/>
      <c r="AE46" s="16"/>
      <c r="AF46" s="16"/>
      <c r="AG46" s="16"/>
      <c r="AH46" s="16"/>
      <c r="AI46" s="16"/>
      <c r="AJ46" s="16"/>
      <c r="AK46" s="16"/>
      <c r="AL46" s="16"/>
      <c r="AM46" s="16"/>
      <c r="AN46" s="16"/>
      <c r="AO46" s="51">
        <f>Table1[[#This Row],[SỐ LƯỢNG ]]-SUM(Table1[[#This Row],[XK ĐỒNG TÂM]:[XK LSX 8]])</f>
        <v>0</v>
      </c>
      <c r="AP46" s="51">
        <f>Table1[[#This Row],[CÒN LẠI (gram)]]*Table1[[#This Row],[ĐƠN GIÁ /1 KG]]</f>
        <v>0</v>
      </c>
      <c r="AQ46" s="3" t="s">
        <v>88</v>
      </c>
      <c r="AR46" s="3"/>
      <c r="AS46" s="20"/>
      <c r="AT46" s="3"/>
      <c r="AU46" s="3"/>
    </row>
    <row r="47" spans="1:47" s="4" customFormat="1" ht="24" customHeight="1" x14ac:dyDescent="0.35">
      <c r="A47" s="5">
        <v>44</v>
      </c>
      <c r="B47" s="3" t="s">
        <v>40</v>
      </c>
      <c r="C47" s="3"/>
      <c r="D47" s="8"/>
      <c r="E47" s="15" t="s">
        <v>17</v>
      </c>
      <c r="F47" s="23">
        <v>92.6</v>
      </c>
      <c r="G47" s="7">
        <v>45951</v>
      </c>
      <c r="H47" s="26">
        <v>1905</v>
      </c>
      <c r="I47" s="16">
        <f>Table1[[#This Row],[SỐ LƯỢNG ]]*1000</f>
        <v>92600</v>
      </c>
      <c r="J47" s="16">
        <v>55000</v>
      </c>
      <c r="K47" s="16">
        <f>Table1[[#This Row],[SỐ LƯỢNG ]]*Table1[[#This Row],[ĐƠN GIÁ /1 KG]]</f>
        <v>5093000</v>
      </c>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31">
        <f>Table1[[#This Row],[QUY ĐỔI GRAM]]-SUM(Table1[[#This Row],[XK ĐỒNG TÂM]:[XK LSX 8]])</f>
        <v>92600</v>
      </c>
      <c r="AP47" s="31">
        <f>Table1[[#This Row],[CÒN LẠI (gram)]]*Table1[[#This Row],[ĐƠN GIÁ /1 KG]]/1000</f>
        <v>5093000</v>
      </c>
      <c r="AQ47" s="3" t="s">
        <v>48</v>
      </c>
      <c r="AR47" s="3"/>
      <c r="AS47" s="20"/>
      <c r="AT47" s="3"/>
      <c r="AU47" s="3"/>
    </row>
    <row r="48" spans="1:47" s="4" customFormat="1" ht="24" customHeight="1" x14ac:dyDescent="0.35">
      <c r="A48" s="5">
        <v>45</v>
      </c>
      <c r="B48" s="3" t="s">
        <v>89</v>
      </c>
      <c r="C48" s="3"/>
      <c r="D48" s="8"/>
      <c r="E48" s="15" t="s">
        <v>90</v>
      </c>
      <c r="F48" s="23">
        <v>500</v>
      </c>
      <c r="G48" s="7">
        <v>45953</v>
      </c>
      <c r="H48" s="26">
        <v>422</v>
      </c>
      <c r="I48" s="16"/>
      <c r="J48" s="16">
        <v>7610</v>
      </c>
      <c r="K48" s="16">
        <f>Table1[[#This Row],[SỐ LƯỢNG ]]*Table1[[#This Row],[ĐƠN GIÁ /1 KG]]</f>
        <v>3805000</v>
      </c>
      <c r="L48" s="16"/>
      <c r="M48" s="16"/>
      <c r="N48" s="16"/>
      <c r="O48" s="16"/>
      <c r="P48" s="16"/>
      <c r="Q48" s="16"/>
      <c r="R48" s="16"/>
      <c r="S48" s="16"/>
      <c r="T48" s="16"/>
      <c r="U48" s="16"/>
      <c r="V48" s="16"/>
      <c r="W48" s="16"/>
      <c r="X48" s="16"/>
      <c r="Y48" s="16"/>
      <c r="Z48" s="16">
        <v>500</v>
      </c>
      <c r="AA48" s="16"/>
      <c r="AB48" s="16"/>
      <c r="AC48" s="16"/>
      <c r="AD48" s="16"/>
      <c r="AE48" s="16"/>
      <c r="AF48" s="16"/>
      <c r="AG48" s="16"/>
      <c r="AH48" s="16"/>
      <c r="AI48" s="16"/>
      <c r="AJ48" s="16"/>
      <c r="AK48" s="16"/>
      <c r="AL48" s="16"/>
      <c r="AM48" s="16"/>
      <c r="AN48" s="16"/>
      <c r="AO48" s="51">
        <f>Table1[[#This Row],[SỐ LƯỢNG ]]-SUM(Table1[[#This Row],[XK ĐỒNG TÂM]:[XK LSX 8]])</f>
        <v>0</v>
      </c>
      <c r="AP48" s="51">
        <f>Table1[[#This Row],[CÒN LẠI (gram)]]*Table1[[#This Row],[ĐƠN GIÁ /1 KG]]</f>
        <v>0</v>
      </c>
      <c r="AQ48" s="3" t="s">
        <v>88</v>
      </c>
      <c r="AR48" s="3"/>
      <c r="AS48" s="20"/>
      <c r="AT48" s="3"/>
      <c r="AU48" s="3"/>
    </row>
    <row r="49" spans="1:47" s="4" customFormat="1" ht="24" customHeight="1" x14ac:dyDescent="0.35">
      <c r="A49" s="5">
        <v>46</v>
      </c>
      <c r="B49" s="3" t="s">
        <v>91</v>
      </c>
      <c r="C49" s="3"/>
      <c r="D49" s="8"/>
      <c r="E49" s="15" t="s">
        <v>90</v>
      </c>
      <c r="F49" s="23">
        <v>400</v>
      </c>
      <c r="G49" s="7">
        <v>45953</v>
      </c>
      <c r="H49" s="26">
        <v>422</v>
      </c>
      <c r="I49" s="16"/>
      <c r="J49" s="16">
        <v>10960</v>
      </c>
      <c r="K49" s="16">
        <f>Table1[[#This Row],[SỐ LƯỢNG ]]*Table1[[#This Row],[ĐƠN GIÁ /1 KG]]</f>
        <v>4384000</v>
      </c>
      <c r="L49" s="16"/>
      <c r="M49" s="16"/>
      <c r="N49" s="16"/>
      <c r="O49" s="16"/>
      <c r="P49" s="16"/>
      <c r="Q49" s="16"/>
      <c r="R49" s="16"/>
      <c r="S49" s="16"/>
      <c r="T49" s="16"/>
      <c r="U49" s="16"/>
      <c r="V49" s="16"/>
      <c r="W49" s="16"/>
      <c r="X49" s="16"/>
      <c r="Y49" s="16"/>
      <c r="Z49" s="16"/>
      <c r="AA49" s="16">
        <v>400</v>
      </c>
      <c r="AB49" s="16"/>
      <c r="AC49" s="16"/>
      <c r="AD49" s="16"/>
      <c r="AE49" s="16"/>
      <c r="AF49" s="16"/>
      <c r="AG49" s="16"/>
      <c r="AH49" s="16"/>
      <c r="AI49" s="16"/>
      <c r="AJ49" s="16"/>
      <c r="AK49" s="16"/>
      <c r="AL49" s="16"/>
      <c r="AM49" s="16"/>
      <c r="AN49" s="16"/>
      <c r="AO49" s="51">
        <f>Table1[[#This Row],[SỐ LƯỢNG ]]-SUM(Table1[[#This Row],[XK ĐỒNG TÂM]:[XK LSX 8]])</f>
        <v>0</v>
      </c>
      <c r="AP49" s="51">
        <f>Table1[[#This Row],[CÒN LẠI (gram)]]*Table1[[#This Row],[ĐƠN GIÁ /1 KG]]</f>
        <v>0</v>
      </c>
      <c r="AQ49" s="3" t="s">
        <v>88</v>
      </c>
      <c r="AR49" s="3"/>
      <c r="AS49" s="20"/>
      <c r="AT49" s="3"/>
      <c r="AU49" s="3"/>
    </row>
    <row r="50" spans="1:47" s="4" customFormat="1" ht="24" customHeight="1" x14ac:dyDescent="0.35">
      <c r="A50" s="5">
        <v>47</v>
      </c>
      <c r="B50" s="13" t="s">
        <v>92</v>
      </c>
      <c r="C50" s="3"/>
      <c r="D50" s="8" t="s">
        <v>93</v>
      </c>
      <c r="E50" s="15" t="s">
        <v>17</v>
      </c>
      <c r="F50" s="23">
        <f>0.1+0.2</f>
        <v>0.30000000000000004</v>
      </c>
      <c r="G50" s="7">
        <v>45954</v>
      </c>
      <c r="H50" s="26">
        <v>2158</v>
      </c>
      <c r="I50" s="16">
        <f>Table1[[#This Row],[SỐ LƯỢNG ]]*1000</f>
        <v>300.00000000000006</v>
      </c>
      <c r="J50" s="16">
        <v>34257600</v>
      </c>
      <c r="K50" s="16">
        <f>Table1[[#This Row],[SỐ LƯỢNG ]]*Table1[[#This Row],[ĐƠN GIÁ /1 KG]]</f>
        <v>10277280.000000002</v>
      </c>
      <c r="L50" s="16"/>
      <c r="M50" s="16"/>
      <c r="N50" s="16"/>
      <c r="O50" s="16"/>
      <c r="P50" s="16"/>
      <c r="Q50" s="16"/>
      <c r="R50" s="16"/>
      <c r="S50" s="16">
        <v>60</v>
      </c>
      <c r="T50" s="16"/>
      <c r="U50" s="16"/>
      <c r="V50" s="16">
        <v>240</v>
      </c>
      <c r="W50" s="16"/>
      <c r="X50" s="16"/>
      <c r="Y50" s="16"/>
      <c r="Z50" s="16"/>
      <c r="AA50" s="16"/>
      <c r="AB50" s="16"/>
      <c r="AC50" s="16"/>
      <c r="AD50" s="16"/>
      <c r="AE50" s="16"/>
      <c r="AF50" s="16"/>
      <c r="AG50" s="16"/>
      <c r="AH50" s="16"/>
      <c r="AI50" s="16"/>
      <c r="AJ50" s="16"/>
      <c r="AK50" s="16"/>
      <c r="AL50" s="16"/>
      <c r="AM50" s="16"/>
      <c r="AN50" s="16"/>
      <c r="AO50" s="31">
        <f>Table1[[#This Row],[QUY ĐỔI GRAM]]-SUM(Table1[[#This Row],[XK ĐỒNG TÂM]:[XK LSX 8]])</f>
        <v>0</v>
      </c>
      <c r="AP50" s="31">
        <f>Table1[[#This Row],[CÒN LẠI (gram)]]*Table1[[#This Row],[ĐƠN GIÁ /1 KG]]/1000</f>
        <v>0</v>
      </c>
      <c r="AQ50" s="3" t="s">
        <v>67</v>
      </c>
      <c r="AR50" s="3" t="s">
        <v>103</v>
      </c>
      <c r="AS50" s="20" t="s">
        <v>121</v>
      </c>
      <c r="AT50" s="7">
        <v>45719</v>
      </c>
      <c r="AU50" s="7">
        <v>46258</v>
      </c>
    </row>
    <row r="51" spans="1:47" s="4" customFormat="1" ht="24" customHeight="1" x14ac:dyDescent="0.35">
      <c r="A51" s="5">
        <v>48</v>
      </c>
      <c r="B51" s="3" t="s">
        <v>94</v>
      </c>
      <c r="C51" s="3"/>
      <c r="D51" s="8"/>
      <c r="E51" s="15" t="s">
        <v>24</v>
      </c>
      <c r="F51" s="23">
        <v>6000</v>
      </c>
      <c r="G51" s="7">
        <v>45955</v>
      </c>
      <c r="H51" s="26">
        <v>931</v>
      </c>
      <c r="I51" s="16"/>
      <c r="J51" s="16">
        <v>519</v>
      </c>
      <c r="K51" s="16">
        <f>Table1[[#This Row],[SỐ LƯỢNG ]]*Table1[[#This Row],[ĐƠN GIÁ /1 KG]]</f>
        <v>3114000</v>
      </c>
      <c r="L51" s="16"/>
      <c r="M51" s="16"/>
      <c r="N51" s="16"/>
      <c r="O51" s="16"/>
      <c r="P51" s="16"/>
      <c r="Q51" s="16"/>
      <c r="R51" s="16"/>
      <c r="S51" s="16">
        <v>5000</v>
      </c>
      <c r="T51" s="16"/>
      <c r="U51" s="16"/>
      <c r="V51" s="16"/>
      <c r="W51" s="16"/>
      <c r="X51" s="16"/>
      <c r="Y51" s="16"/>
      <c r="Z51" s="16"/>
      <c r="AA51" s="16"/>
      <c r="AB51" s="16"/>
      <c r="AC51" s="16"/>
      <c r="AD51" s="16"/>
      <c r="AE51" s="16"/>
      <c r="AF51" s="16"/>
      <c r="AG51" s="16"/>
      <c r="AH51" s="16"/>
      <c r="AI51" s="16"/>
      <c r="AJ51" s="16"/>
      <c r="AK51" s="16"/>
      <c r="AL51" s="16"/>
      <c r="AM51" s="16"/>
      <c r="AN51" s="16"/>
      <c r="AO51" s="51">
        <f>Table1[[#This Row],[SỐ LƯỢNG ]]-SUM(Table1[[#This Row],[XK ĐỒNG TÂM]:[XK LSX 8]])</f>
        <v>1000</v>
      </c>
      <c r="AP51" s="51">
        <f>Table1[[#This Row],[CÒN LẠI (gram)]]*Table1[[#This Row],[ĐƠN GIÁ /1 KG]]</f>
        <v>519000</v>
      </c>
      <c r="AQ51" s="3" t="s">
        <v>95</v>
      </c>
      <c r="AR51" s="3"/>
      <c r="AS51" s="20"/>
      <c r="AT51" s="3"/>
      <c r="AU51" s="3"/>
    </row>
    <row r="52" spans="1:47" s="4" customFormat="1" ht="24" customHeight="1" x14ac:dyDescent="0.35">
      <c r="A52" s="5">
        <v>49</v>
      </c>
      <c r="B52" s="13" t="s">
        <v>97</v>
      </c>
      <c r="C52" s="8" t="s">
        <v>96</v>
      </c>
      <c r="D52" s="8" t="s">
        <v>96</v>
      </c>
      <c r="E52" s="15" t="s">
        <v>17</v>
      </c>
      <c r="F52" s="23">
        <v>3</v>
      </c>
      <c r="G52" s="7">
        <v>45958</v>
      </c>
      <c r="H52" s="26">
        <v>10903</v>
      </c>
      <c r="I52" s="16">
        <f>Table1[[#This Row],[SỐ LƯỢNG ]]*1000</f>
        <v>3000</v>
      </c>
      <c r="J52" s="16">
        <v>3294000</v>
      </c>
      <c r="K52" s="16">
        <f>Table1[[#This Row],[SỐ LƯỢNG ]]*Table1[[#This Row],[ĐƠN GIÁ /1 KG]]</f>
        <v>9882000</v>
      </c>
      <c r="L52" s="16"/>
      <c r="M52" s="16"/>
      <c r="N52" s="16"/>
      <c r="O52" s="16"/>
      <c r="P52" s="16"/>
      <c r="Q52" s="16"/>
      <c r="R52" s="16"/>
      <c r="S52" s="16"/>
      <c r="T52" s="16"/>
      <c r="U52" s="16"/>
      <c r="V52" s="16"/>
      <c r="W52" s="16"/>
      <c r="X52" s="16">
        <v>600</v>
      </c>
      <c r="Y52" s="16"/>
      <c r="Z52" s="16"/>
      <c r="AA52" s="16"/>
      <c r="AB52" s="16"/>
      <c r="AC52" s="16"/>
      <c r="AD52" s="16"/>
      <c r="AE52" s="16"/>
      <c r="AF52" s="16"/>
      <c r="AG52" s="16"/>
      <c r="AH52" s="16"/>
      <c r="AI52" s="16"/>
      <c r="AJ52" s="16"/>
      <c r="AK52" s="16"/>
      <c r="AL52" s="16"/>
      <c r="AM52" s="16"/>
      <c r="AN52" s="16"/>
      <c r="AO52" s="31">
        <f>Table1[[#This Row],[QUY ĐỔI GRAM]]-SUM(Table1[[#This Row],[XK ĐỒNG TÂM]:[XK LSX 8]])</f>
        <v>2400</v>
      </c>
      <c r="AP52" s="31">
        <f>Table1[[#This Row],[CÒN LẠI (gram)]]*Table1[[#This Row],[ĐƠN GIÁ /1 KG]]/1000</f>
        <v>7905600</v>
      </c>
      <c r="AQ52" s="3" t="s">
        <v>39</v>
      </c>
      <c r="AR52" s="3" t="s">
        <v>103</v>
      </c>
      <c r="AS52" s="20">
        <v>25039216</v>
      </c>
      <c r="AT52" s="7">
        <v>45755</v>
      </c>
      <c r="AU52" s="7">
        <v>46447</v>
      </c>
    </row>
    <row r="53" spans="1:47" s="4" customFormat="1" ht="24" customHeight="1" x14ac:dyDescent="0.35">
      <c r="A53" s="5">
        <v>50</v>
      </c>
      <c r="B53" s="3" t="s">
        <v>130</v>
      </c>
      <c r="C53" s="3"/>
      <c r="D53" s="8"/>
      <c r="E53" s="15" t="s">
        <v>131</v>
      </c>
      <c r="F53" s="23">
        <v>2000</v>
      </c>
      <c r="G53" s="7">
        <v>45964</v>
      </c>
      <c r="H53" s="26">
        <v>3950</v>
      </c>
      <c r="I53" s="16"/>
      <c r="J53" s="16">
        <v>3100</v>
      </c>
      <c r="K53" s="16">
        <f>Table1[[#This Row],[SỐ LƯỢNG ]]*Table1[[#This Row],[ĐƠN GIÁ /1 KG]]</f>
        <v>6200000</v>
      </c>
      <c r="L53" s="16"/>
      <c r="M53" s="16"/>
      <c r="N53" s="16"/>
      <c r="O53" s="16"/>
      <c r="P53" s="16"/>
      <c r="Q53" s="16"/>
      <c r="R53" s="16"/>
      <c r="S53" s="16"/>
      <c r="T53" s="16"/>
      <c r="U53" s="16"/>
      <c r="V53" s="16">
        <v>2000</v>
      </c>
      <c r="W53" s="16"/>
      <c r="X53" s="16"/>
      <c r="Y53" s="16"/>
      <c r="Z53" s="16"/>
      <c r="AA53" s="16"/>
      <c r="AB53" s="16"/>
      <c r="AC53" s="16"/>
      <c r="AD53" s="16"/>
      <c r="AE53" s="16"/>
      <c r="AF53" s="16"/>
      <c r="AG53" s="16"/>
      <c r="AH53" s="16"/>
      <c r="AI53" s="16"/>
      <c r="AJ53" s="16"/>
      <c r="AK53" s="16"/>
      <c r="AL53" s="16"/>
      <c r="AM53" s="16"/>
      <c r="AN53" s="16"/>
      <c r="AO53" s="31">
        <f>Table1[[#This Row],[SỐ LƯỢNG ]]-SUM(Table1[[#This Row],[XK ĐỒNG TÂM]:[XK LSX 8]])</f>
        <v>0</v>
      </c>
      <c r="AP53" s="31">
        <f>Table1[[#This Row],[CÒN LẠI (gram)]]*Table1[[#This Row],[ĐƠN GIÁ /1 KG]]</f>
        <v>0</v>
      </c>
      <c r="AQ53" s="3" t="s">
        <v>132</v>
      </c>
      <c r="AR53" s="3"/>
      <c r="AS53" s="20"/>
      <c r="AT53" s="3"/>
      <c r="AU53" s="3"/>
    </row>
    <row r="54" spans="1:47" s="4" customFormat="1" ht="24" customHeight="1" x14ac:dyDescent="0.35">
      <c r="A54" s="5">
        <v>51</v>
      </c>
      <c r="B54" s="3" t="s">
        <v>133</v>
      </c>
      <c r="C54" s="3"/>
      <c r="D54" s="8"/>
      <c r="E54" s="15" t="s">
        <v>24</v>
      </c>
      <c r="F54" s="23">
        <v>519</v>
      </c>
      <c r="G54" s="7">
        <v>45964</v>
      </c>
      <c r="H54" s="26">
        <v>1159</v>
      </c>
      <c r="I54" s="16">
        <f>Table1[[#This Row],[SỐ LƯỢNG ]]</f>
        <v>519</v>
      </c>
      <c r="J54" s="16">
        <v>16000</v>
      </c>
      <c r="K54" s="16">
        <f>Table1[[#This Row],[SỐ LƯỢNG ]]*Table1[[#This Row],[ĐƠN GIÁ /1 KG]]</f>
        <v>8304000</v>
      </c>
      <c r="L54" s="16">
        <v>8</v>
      </c>
      <c r="M54" s="16">
        <v>16</v>
      </c>
      <c r="N54" s="16">
        <v>16</v>
      </c>
      <c r="O54" s="16">
        <v>16</v>
      </c>
      <c r="P54" s="16">
        <v>16</v>
      </c>
      <c r="Q54" s="16">
        <v>16</v>
      </c>
      <c r="R54" s="16">
        <v>16</v>
      </c>
      <c r="S54" s="16"/>
      <c r="T54" s="16"/>
      <c r="U54" s="16"/>
      <c r="V54" s="16">
        <v>13</v>
      </c>
      <c r="W54" s="16"/>
      <c r="X54" s="16"/>
      <c r="Y54" s="16"/>
      <c r="Z54" s="16"/>
      <c r="AA54" s="16"/>
      <c r="AB54" s="16"/>
      <c r="AC54" s="16"/>
      <c r="AD54" s="16"/>
      <c r="AE54" s="16"/>
      <c r="AF54" s="16"/>
      <c r="AG54" s="16"/>
      <c r="AH54" s="16"/>
      <c r="AI54" s="16"/>
      <c r="AJ54" s="16"/>
      <c r="AK54" s="16"/>
      <c r="AL54" s="16"/>
      <c r="AM54" s="16"/>
      <c r="AN54" s="16"/>
      <c r="AO54" s="31">
        <f>Table1[[#This Row],[QUY ĐỔI GRAM]]-SUM(Table1[[#This Row],[XK ĐỒNG TÂM]:[XK LSX 8]])</f>
        <v>402</v>
      </c>
      <c r="AP54" s="31">
        <f>Table1[[#This Row],[CÒN LẠI (gram)]]*Table1[[#This Row],[ĐƠN GIÁ /1 KG]]</f>
        <v>6432000</v>
      </c>
      <c r="AQ54" s="3" t="s">
        <v>134</v>
      </c>
      <c r="AR54" s="3"/>
      <c r="AS54" s="20"/>
      <c r="AT54" s="3"/>
      <c r="AU54" s="3"/>
    </row>
    <row r="55" spans="1:47" s="4" customFormat="1" ht="24" customHeight="1" x14ac:dyDescent="0.35">
      <c r="A55" s="5">
        <v>52</v>
      </c>
      <c r="B55" s="13" t="s">
        <v>172</v>
      </c>
      <c r="C55" s="3" t="s">
        <v>60</v>
      </c>
      <c r="D55" s="8" t="s">
        <v>59</v>
      </c>
      <c r="E55" s="15" t="s">
        <v>17</v>
      </c>
      <c r="F55" s="23">
        <v>8</v>
      </c>
      <c r="G55" s="7">
        <v>45967</v>
      </c>
      <c r="H55" s="26">
        <v>11317</v>
      </c>
      <c r="I55" s="16">
        <f>Table1[[#This Row],[SỐ LƯỢNG ]]*1000</f>
        <v>8000</v>
      </c>
      <c r="J55" s="16">
        <v>703703.7</v>
      </c>
      <c r="K55" s="16">
        <f>Table1[[#This Row],[SỐ LƯỢNG ]]*Table1[[#This Row],[ĐƠN GIÁ /1 KG]]</f>
        <v>5629629.5999999996</v>
      </c>
      <c r="L55" s="16"/>
      <c r="M55" s="16"/>
      <c r="N55" s="16"/>
      <c r="O55" s="16"/>
      <c r="P55" s="16"/>
      <c r="Q55" s="16"/>
      <c r="R55" s="16"/>
      <c r="S55" s="16"/>
      <c r="T55" s="16"/>
      <c r="U55" s="16"/>
      <c r="V55" s="16">
        <v>2500</v>
      </c>
      <c r="W55" s="16"/>
      <c r="X55" s="16"/>
      <c r="Y55" s="16"/>
      <c r="Z55" s="16"/>
      <c r="AA55" s="16"/>
      <c r="AB55" s="105"/>
      <c r="AC55" s="23">
        <v>2557.5</v>
      </c>
      <c r="AD55" s="23"/>
      <c r="AE55" s="23"/>
      <c r="AF55" s="23"/>
      <c r="AG55" s="23"/>
      <c r="AH55" s="23">
        <v>2942.5</v>
      </c>
      <c r="AI55" s="23"/>
      <c r="AJ55" s="23"/>
      <c r="AK55" s="23"/>
      <c r="AL55" s="23"/>
      <c r="AM55" s="23"/>
      <c r="AN55" s="16"/>
      <c r="AO55" s="31">
        <f>Table1[[#This Row],[QUY ĐỔI GRAM]]-SUM(Table1[[#This Row],[XK ĐỒNG TÂM]:[XK LSX 8]])</f>
        <v>0</v>
      </c>
      <c r="AP55" s="31">
        <f>Table1[[#This Row],[CÒN LẠI (gram)]]*Table1[[#This Row],[ĐƠN GIÁ /1 KG]]/1000</f>
        <v>0</v>
      </c>
      <c r="AQ55" s="3" t="s">
        <v>39</v>
      </c>
      <c r="AR55" s="3"/>
      <c r="AS55" s="20"/>
      <c r="AT55" s="3"/>
      <c r="AU55" s="3"/>
    </row>
    <row r="56" spans="1:47" s="4" customFormat="1" ht="24" customHeight="1" x14ac:dyDescent="0.35">
      <c r="A56" s="5">
        <v>53</v>
      </c>
      <c r="B56" s="13" t="s">
        <v>173</v>
      </c>
      <c r="C56" s="3" t="s">
        <v>174</v>
      </c>
      <c r="D56" s="8" t="s">
        <v>338</v>
      </c>
      <c r="E56" s="15" t="s">
        <v>17</v>
      </c>
      <c r="F56" s="23">
        <v>1</v>
      </c>
      <c r="G56" s="7">
        <v>45967</v>
      </c>
      <c r="H56" s="26">
        <v>11317</v>
      </c>
      <c r="I56" s="16">
        <f>Table1[[#This Row],[SỐ LƯỢNG ]]*1000</f>
        <v>1000</v>
      </c>
      <c r="J56" s="16">
        <v>4398148.1500000004</v>
      </c>
      <c r="K56" s="16">
        <f>Table1[[#This Row],[SỐ LƯỢNG ]]*Table1[[#This Row],[ĐƠN GIÁ /1 KG]]</f>
        <v>4398148.1500000004</v>
      </c>
      <c r="L56" s="16"/>
      <c r="M56" s="16"/>
      <c r="N56" s="16"/>
      <c r="O56" s="16"/>
      <c r="P56" s="16"/>
      <c r="Q56" s="16"/>
      <c r="R56" s="16"/>
      <c r="S56" s="16"/>
      <c r="T56" s="16"/>
      <c r="U56" s="16"/>
      <c r="V56" s="16"/>
      <c r="W56" s="16"/>
      <c r="X56" s="16"/>
      <c r="Y56" s="16"/>
      <c r="Z56" s="16"/>
      <c r="AA56" s="16">
        <v>627</v>
      </c>
      <c r="AB56" s="108">
        <v>373</v>
      </c>
      <c r="AC56" s="16"/>
      <c r="AD56" s="16"/>
      <c r="AE56" s="16"/>
      <c r="AF56" s="16"/>
      <c r="AG56" s="16"/>
      <c r="AH56" s="16"/>
      <c r="AI56" s="16"/>
      <c r="AJ56" s="16"/>
      <c r="AK56" s="16"/>
      <c r="AL56" s="16"/>
      <c r="AM56" s="16"/>
      <c r="AN56" s="16"/>
      <c r="AO56" s="31">
        <f>Table1[[#This Row],[QUY ĐỔI GRAM]]-SUM(Table1[[#This Row],[XK ĐỒNG TÂM]:[XK LSX 8]])</f>
        <v>0</v>
      </c>
      <c r="AP56" s="31">
        <f>Table1[[#This Row],[CÒN LẠI (gram)]]*Table1[[#This Row],[ĐƠN GIÁ /1 KG]]/1000</f>
        <v>0</v>
      </c>
      <c r="AQ56" s="3" t="s">
        <v>39</v>
      </c>
      <c r="AR56" s="3"/>
      <c r="AS56" s="20"/>
      <c r="AT56" s="3"/>
      <c r="AU56" s="3"/>
    </row>
    <row r="57" spans="1:47" s="4" customFormat="1" ht="24" customHeight="1" x14ac:dyDescent="0.35">
      <c r="A57" s="5">
        <v>54</v>
      </c>
      <c r="B57" s="13" t="s">
        <v>175</v>
      </c>
      <c r="C57" s="3" t="s">
        <v>177</v>
      </c>
      <c r="D57" s="8" t="s">
        <v>176</v>
      </c>
      <c r="E57" s="15" t="s">
        <v>17</v>
      </c>
      <c r="F57" s="23">
        <v>5</v>
      </c>
      <c r="G57" s="7">
        <v>45967</v>
      </c>
      <c r="H57" s="26">
        <v>290</v>
      </c>
      <c r="I57" s="16">
        <f>Table1[[#This Row],[SỐ LƯỢNG ]]*1000</f>
        <v>5000</v>
      </c>
      <c r="J57" s="16">
        <v>1915000</v>
      </c>
      <c r="K57" s="16">
        <f>Table1[[#This Row],[SỐ LƯỢNG ]]*Table1[[#This Row],[ĐƠN GIÁ /1 KG]]</f>
        <v>9575000</v>
      </c>
      <c r="L57" s="16"/>
      <c r="M57" s="16"/>
      <c r="N57" s="16"/>
      <c r="O57" s="16"/>
      <c r="P57" s="16"/>
      <c r="Q57" s="16"/>
      <c r="R57" s="16"/>
      <c r="S57" s="16"/>
      <c r="T57" s="16"/>
      <c r="U57" s="16"/>
      <c r="V57" s="16"/>
      <c r="W57" s="16"/>
      <c r="X57" s="16">
        <v>3000</v>
      </c>
      <c r="Y57" s="16"/>
      <c r="Z57" s="16">
        <v>600</v>
      </c>
      <c r="AA57" s="16"/>
      <c r="AB57" s="16"/>
      <c r="AC57" s="16"/>
      <c r="AD57" s="16"/>
      <c r="AE57" s="16"/>
      <c r="AF57" s="16"/>
      <c r="AG57" s="16"/>
      <c r="AH57" s="16">
        <v>1400</v>
      </c>
      <c r="AI57" s="16"/>
      <c r="AJ57" s="16"/>
      <c r="AK57" s="16"/>
      <c r="AL57" s="16"/>
      <c r="AM57" s="16"/>
      <c r="AN57" s="16"/>
      <c r="AO57" s="31">
        <f>Table1[[#This Row],[QUY ĐỔI GRAM]]-SUM(Table1[[#This Row],[XK ĐỒNG TÂM]:[XK LSX 8]])</f>
        <v>0</v>
      </c>
      <c r="AP57" s="31">
        <f>Table1[[#This Row],[CÒN LẠI (gram)]]*Table1[[#This Row],[ĐƠN GIÁ /1 KG]]/1000</f>
        <v>0</v>
      </c>
      <c r="AQ57" s="3" t="s">
        <v>179</v>
      </c>
      <c r="AR57" s="3"/>
      <c r="AS57" s="20"/>
      <c r="AT57" s="3"/>
      <c r="AU57" s="3"/>
    </row>
    <row r="58" spans="1:47" s="4" customFormat="1" ht="32.15" customHeight="1" x14ac:dyDescent="0.35">
      <c r="A58" s="5">
        <v>55</v>
      </c>
      <c r="B58" s="13" t="s">
        <v>135</v>
      </c>
      <c r="C58" s="3"/>
      <c r="D58" s="8" t="s">
        <v>178</v>
      </c>
      <c r="E58" s="15" t="s">
        <v>17</v>
      </c>
      <c r="F58" s="23">
        <v>1</v>
      </c>
      <c r="G58" s="7">
        <v>45972</v>
      </c>
      <c r="H58" s="26">
        <v>4586</v>
      </c>
      <c r="I58" s="16">
        <f>Table1[[#This Row],[SỐ LƯỢNG ]]*1000</f>
        <v>1000</v>
      </c>
      <c r="J58" s="16">
        <v>2081571</v>
      </c>
      <c r="K58" s="16">
        <f>Table1[[#This Row],[SỐ LƯỢNG ]]*Table1[[#This Row],[ĐƠN GIÁ /1 KG]]</f>
        <v>2081571</v>
      </c>
      <c r="L58" s="16"/>
      <c r="M58" s="16"/>
      <c r="N58" s="16"/>
      <c r="O58" s="16"/>
      <c r="P58" s="16"/>
      <c r="Q58" s="16"/>
      <c r="R58" s="16"/>
      <c r="S58" s="16"/>
      <c r="T58" s="16"/>
      <c r="U58" s="16"/>
      <c r="V58" s="16">
        <v>60</v>
      </c>
      <c r="W58" s="16">
        <v>401.20000000000005</v>
      </c>
      <c r="X58" s="16"/>
      <c r="Y58" s="16"/>
      <c r="Z58" s="16">
        <v>60.000000000000007</v>
      </c>
      <c r="AA58" s="16"/>
      <c r="AB58" s="16"/>
      <c r="AC58" s="16"/>
      <c r="AD58" s="16"/>
      <c r="AE58" s="16"/>
      <c r="AF58" s="16"/>
      <c r="AG58" s="16"/>
      <c r="AH58" s="16"/>
      <c r="AI58" s="16"/>
      <c r="AJ58" s="16"/>
      <c r="AK58" s="16"/>
      <c r="AL58" s="16"/>
      <c r="AM58" s="16"/>
      <c r="AN58" s="16"/>
      <c r="AO58" s="31">
        <f>Table1[[#This Row],[QUY ĐỔI GRAM]]-SUM(Table1[[#This Row],[XK ĐỒNG TÂM]:[XK LSX 8]])</f>
        <v>478.79999999999995</v>
      </c>
      <c r="AP58" s="31">
        <f>Table1[[#This Row],[CÒN LẠI (gram)]]*Table1[[#This Row],[ĐƠN GIÁ /1 KG]]/1000</f>
        <v>996656.19479999994</v>
      </c>
      <c r="AQ58" s="3" t="s">
        <v>136</v>
      </c>
      <c r="AR58" s="3" t="s">
        <v>103</v>
      </c>
      <c r="AS58" s="20" t="s">
        <v>163</v>
      </c>
      <c r="AT58" s="7">
        <v>45775</v>
      </c>
      <c r="AU58" s="7">
        <v>46505</v>
      </c>
    </row>
    <row r="59" spans="1:47" s="4" customFormat="1" ht="24" customHeight="1" x14ac:dyDescent="0.35">
      <c r="A59" s="5">
        <v>56</v>
      </c>
      <c r="B59" s="13" t="s">
        <v>137</v>
      </c>
      <c r="C59" s="3" t="s">
        <v>164</v>
      </c>
      <c r="D59" s="8" t="s">
        <v>165</v>
      </c>
      <c r="E59" s="15" t="s">
        <v>17</v>
      </c>
      <c r="F59" s="23">
        <v>25</v>
      </c>
      <c r="G59" s="7">
        <v>45972</v>
      </c>
      <c r="H59" s="26">
        <v>4586</v>
      </c>
      <c r="I59" s="16">
        <f>Table1[[#This Row],[SỐ LƯỢNG ]]*1000</f>
        <v>25000</v>
      </c>
      <c r="J59" s="16">
        <v>448035</v>
      </c>
      <c r="K59" s="16">
        <f>Table1[[#This Row],[SỐ LƯỢNG ]]*Table1[[#This Row],[ĐƠN GIÁ /1 KG]]</f>
        <v>11200875</v>
      </c>
      <c r="L59" s="16"/>
      <c r="M59" s="16"/>
      <c r="N59" s="16"/>
      <c r="O59" s="16"/>
      <c r="P59" s="16"/>
      <c r="Q59" s="16"/>
      <c r="R59" s="16"/>
      <c r="S59" s="16"/>
      <c r="T59" s="16">
        <v>200</v>
      </c>
      <c r="U59" s="16"/>
      <c r="V59" s="16">
        <v>3000</v>
      </c>
      <c r="W59" s="16"/>
      <c r="X59" s="16"/>
      <c r="Y59" s="16"/>
      <c r="Z59" s="16"/>
      <c r="AA59" s="16">
        <v>6270</v>
      </c>
      <c r="AB59" s="16">
        <v>1539</v>
      </c>
      <c r="AC59" s="16">
        <v>5115</v>
      </c>
      <c r="AD59" s="16">
        <v>3000</v>
      </c>
      <c r="AE59" s="16"/>
      <c r="AF59" s="16"/>
      <c r="AG59" s="16"/>
      <c r="AH59" s="16"/>
      <c r="AI59" s="16"/>
      <c r="AJ59" s="16"/>
      <c r="AK59" s="16"/>
      <c r="AL59" s="16"/>
      <c r="AM59" s="16"/>
      <c r="AN59" s="16"/>
      <c r="AO59" s="31">
        <f>Table1[[#This Row],[QUY ĐỔI GRAM]]-SUM(Table1[[#This Row],[XK ĐỒNG TÂM]:[XK LSX 8]])</f>
        <v>5876</v>
      </c>
      <c r="AP59" s="31">
        <f>Table1[[#This Row],[CÒN LẠI (gram)]]*Table1[[#This Row],[ĐƠN GIÁ /1 KG]]/1000</f>
        <v>2632653.66</v>
      </c>
      <c r="AQ59" s="3" t="s">
        <v>136</v>
      </c>
      <c r="AR59" s="3"/>
      <c r="AS59" s="20"/>
      <c r="AT59" s="3"/>
      <c r="AU59" s="3"/>
    </row>
    <row r="60" spans="1:47" s="4" customFormat="1" ht="24" customHeight="1" x14ac:dyDescent="0.35">
      <c r="A60" s="5">
        <v>57</v>
      </c>
      <c r="B60" s="13" t="s">
        <v>138</v>
      </c>
      <c r="C60" s="3" t="s">
        <v>171</v>
      </c>
      <c r="D60" s="8" t="s">
        <v>365</v>
      </c>
      <c r="E60" s="15" t="s">
        <v>17</v>
      </c>
      <c r="F60" s="23">
        <v>1</v>
      </c>
      <c r="G60" s="7">
        <v>45972</v>
      </c>
      <c r="H60" s="26">
        <v>4586</v>
      </c>
      <c r="I60" s="16">
        <f>Table1[[#This Row],[SỐ LƯỢNG ]]*1000</f>
        <v>1000</v>
      </c>
      <c r="J60" s="16">
        <v>6588750</v>
      </c>
      <c r="K60" s="16">
        <f>Table1[[#This Row],[SỐ LƯỢNG ]]*Table1[[#This Row],[ĐƠN GIÁ /1 KG]]</f>
        <v>6588750</v>
      </c>
      <c r="L60" s="16"/>
      <c r="M60" s="16"/>
      <c r="N60" s="16"/>
      <c r="O60" s="16"/>
      <c r="P60" s="16"/>
      <c r="Q60" s="16"/>
      <c r="R60" s="16"/>
      <c r="S60" s="16"/>
      <c r="T60" s="16">
        <v>20</v>
      </c>
      <c r="U60" s="16"/>
      <c r="V60" s="16"/>
      <c r="W60" s="16">
        <v>40</v>
      </c>
      <c r="X60" s="16">
        <v>30</v>
      </c>
      <c r="Y60" s="24">
        <v>20.09</v>
      </c>
      <c r="Z60" s="16"/>
      <c r="AA60" s="16"/>
      <c r="AB60" s="16"/>
      <c r="AC60" s="24">
        <v>51.15</v>
      </c>
      <c r="AD60" s="24"/>
      <c r="AE60" s="24">
        <v>101.3</v>
      </c>
      <c r="AF60" s="24"/>
      <c r="AG60" s="24"/>
      <c r="AH60" s="24"/>
      <c r="AI60" s="24"/>
      <c r="AJ60" s="24"/>
      <c r="AK60" s="24"/>
      <c r="AL60" s="24"/>
      <c r="AM60" s="24"/>
      <c r="AN60" s="16"/>
      <c r="AO60" s="120">
        <f>Table1[[#This Row],[QUY ĐỔI GRAM]]-SUM(Table1[[#This Row],[XK ĐỒNG TÂM]:[XK LSX 8]])</f>
        <v>737.46</v>
      </c>
      <c r="AP60" s="31">
        <f>Table1[[#This Row],[CÒN LẠI (gram)]]*Table1[[#This Row],[ĐƠN GIÁ /1 KG]]/1000</f>
        <v>4858939.5750000002</v>
      </c>
      <c r="AQ60" s="3" t="s">
        <v>136</v>
      </c>
      <c r="AR60" s="3"/>
      <c r="AS60" s="20"/>
      <c r="AT60" s="3"/>
      <c r="AU60" s="3"/>
    </row>
    <row r="61" spans="1:47" s="4" customFormat="1" ht="24" customHeight="1" x14ac:dyDescent="0.35">
      <c r="A61" s="5">
        <v>58</v>
      </c>
      <c r="B61" s="13" t="s">
        <v>139</v>
      </c>
      <c r="C61" s="3"/>
      <c r="D61" s="8" t="s">
        <v>194</v>
      </c>
      <c r="E61" s="15" t="s">
        <v>140</v>
      </c>
      <c r="F61" s="23">
        <v>20</v>
      </c>
      <c r="G61" s="7">
        <v>45972</v>
      </c>
      <c r="H61" s="26">
        <v>727</v>
      </c>
      <c r="I61" s="16">
        <f>Table1[[#This Row],[SỐ LƯỢNG ]]*1000</f>
        <v>20000</v>
      </c>
      <c r="J61" s="16">
        <v>36000</v>
      </c>
      <c r="K61" s="16">
        <f>Table1[[#This Row],[SỐ LƯỢNG ]]*Table1[[#This Row],[ĐƠN GIÁ /1 KG]]</f>
        <v>720000</v>
      </c>
      <c r="L61" s="16">
        <v>3000</v>
      </c>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31">
        <f>Table1[[#This Row],[QUY ĐỔI GRAM]]-SUM(Table1[[#This Row],[XK ĐỒNG TÂM]:[XK LSX 8]])</f>
        <v>17000</v>
      </c>
      <c r="AP61" s="31">
        <f>Table1[[#This Row],[CÒN LẠI (gram)]]*Table1[[#This Row],[ĐƠN GIÁ /1 KG]]/1000</f>
        <v>612000</v>
      </c>
      <c r="AQ61" s="3" t="s">
        <v>141</v>
      </c>
      <c r="AR61" s="3"/>
      <c r="AS61" s="20"/>
      <c r="AT61" s="3"/>
      <c r="AU61" s="3"/>
    </row>
    <row r="62" spans="1:47" s="4" customFormat="1" ht="24" customHeight="1" x14ac:dyDescent="0.35">
      <c r="A62" s="5">
        <v>59</v>
      </c>
      <c r="B62" s="13" t="s">
        <v>142</v>
      </c>
      <c r="C62" s="3"/>
      <c r="D62" s="8" t="s">
        <v>415</v>
      </c>
      <c r="E62" s="15" t="s">
        <v>17</v>
      </c>
      <c r="F62" s="23">
        <v>28</v>
      </c>
      <c r="G62" s="7">
        <v>45973</v>
      </c>
      <c r="H62" s="26">
        <v>204</v>
      </c>
      <c r="I62" s="16">
        <f>Table1[[#This Row],[SỐ LƯỢNG ]]*1000</f>
        <v>28000</v>
      </c>
      <c r="J62" s="16">
        <v>738444</v>
      </c>
      <c r="K62" s="16">
        <f>Table1[[#This Row],[SỐ LƯỢNG ]]*Table1[[#This Row],[ĐƠN GIÁ /1 KG]]</f>
        <v>20676432</v>
      </c>
      <c r="L62" s="16">
        <v>90</v>
      </c>
      <c r="M62" s="16"/>
      <c r="N62" s="16"/>
      <c r="O62" s="16"/>
      <c r="P62" s="16"/>
      <c r="Q62" s="16"/>
      <c r="R62" s="16"/>
      <c r="S62" s="16">
        <v>12000</v>
      </c>
      <c r="T62" s="16"/>
      <c r="U62" s="16">
        <v>100</v>
      </c>
      <c r="V62" s="16">
        <v>600</v>
      </c>
      <c r="W62" s="16">
        <v>4012</v>
      </c>
      <c r="X62" s="16">
        <v>3000</v>
      </c>
      <c r="Y62" s="16">
        <v>1004.5</v>
      </c>
      <c r="Z62" s="16"/>
      <c r="AA62" s="16"/>
      <c r="AB62" s="16">
        <v>513</v>
      </c>
      <c r="AC62" s="24">
        <v>511.5</v>
      </c>
      <c r="AD62" s="24"/>
      <c r="AE62" s="24"/>
      <c r="AF62" s="24"/>
      <c r="AG62" s="24"/>
      <c r="AH62" s="16">
        <v>2000</v>
      </c>
      <c r="AI62" s="24"/>
      <c r="AJ62" s="24"/>
      <c r="AK62" s="24"/>
      <c r="AL62" s="24"/>
      <c r="AM62" s="24"/>
      <c r="AN62" s="16"/>
      <c r="AO62" s="31">
        <f>Table1[[#This Row],[QUY ĐỔI GRAM]]-SUM(Table1[[#This Row],[XK ĐỒNG TÂM]:[XK LSX 8]])</f>
        <v>4169</v>
      </c>
      <c r="AP62" s="31">
        <f>Table1[[#This Row],[CÒN LẠI (gram)]]*Table1[[#This Row],[ĐƠN GIÁ /1 KG]]/1000</f>
        <v>3078573.0359999998</v>
      </c>
      <c r="AQ62" s="3" t="s">
        <v>143</v>
      </c>
      <c r="AR62" s="3"/>
      <c r="AS62" s="20"/>
      <c r="AT62" s="3"/>
      <c r="AU62" s="3"/>
    </row>
    <row r="63" spans="1:47" s="4" customFormat="1" ht="24" customHeight="1" x14ac:dyDescent="0.35">
      <c r="A63" s="5">
        <v>60</v>
      </c>
      <c r="B63" s="3" t="s">
        <v>144</v>
      </c>
      <c r="C63" s="3"/>
      <c r="D63" s="8"/>
      <c r="E63" s="15" t="s">
        <v>24</v>
      </c>
      <c r="F63" s="23">
        <v>2000</v>
      </c>
      <c r="G63" s="7">
        <v>45974</v>
      </c>
      <c r="H63" s="26">
        <v>41</v>
      </c>
      <c r="I63" s="16"/>
      <c r="J63" s="16">
        <v>1001</v>
      </c>
      <c r="K63" s="16">
        <f>Table1[[#This Row],[SỐ LƯỢNG ]]*Table1[[#This Row],[ĐƠN GIÁ /1 KG]]</f>
        <v>2002000</v>
      </c>
      <c r="L63" s="16"/>
      <c r="M63" s="16"/>
      <c r="N63" s="16"/>
      <c r="O63" s="16"/>
      <c r="P63" s="16"/>
      <c r="Q63" s="16"/>
      <c r="R63" s="16"/>
      <c r="S63" s="16"/>
      <c r="T63" s="16"/>
      <c r="U63" s="16"/>
      <c r="V63" s="16">
        <v>2000</v>
      </c>
      <c r="W63" s="16"/>
      <c r="X63" s="16"/>
      <c r="Y63" s="16"/>
      <c r="Z63" s="16"/>
      <c r="AA63" s="16"/>
      <c r="AB63" s="16"/>
      <c r="AC63" s="16"/>
      <c r="AD63" s="16"/>
      <c r="AE63" s="16"/>
      <c r="AF63" s="16"/>
      <c r="AG63" s="16"/>
      <c r="AH63" s="16"/>
      <c r="AI63" s="16"/>
      <c r="AJ63" s="16"/>
      <c r="AK63" s="16"/>
      <c r="AL63" s="16"/>
      <c r="AM63" s="16"/>
      <c r="AN63" s="16"/>
      <c r="AO63" s="51">
        <f>Table1[[#This Row],[SỐ LƯỢNG ]]-SUM(Table1[[#This Row],[XK ĐỒNG TÂM]:[XK LSX 8]])</f>
        <v>0</v>
      </c>
      <c r="AP63" s="51">
        <f>Table1[[#This Row],[CÒN LẠI (gram)]]*Table1[[#This Row],[ĐƠN GIÁ /1 KG]]</f>
        <v>0</v>
      </c>
      <c r="AQ63" s="3" t="s">
        <v>145</v>
      </c>
      <c r="AR63" s="3"/>
      <c r="AS63" s="20"/>
      <c r="AT63" s="3"/>
      <c r="AU63" s="3"/>
    </row>
    <row r="64" spans="1:47" s="4" customFormat="1" ht="24" customHeight="1" x14ac:dyDescent="0.35">
      <c r="A64" s="5">
        <v>61</v>
      </c>
      <c r="B64" s="13" t="s">
        <v>146</v>
      </c>
      <c r="C64" s="3"/>
      <c r="D64" s="8" t="s">
        <v>195</v>
      </c>
      <c r="E64" s="15" t="s">
        <v>17</v>
      </c>
      <c r="F64" s="23">
        <v>80</v>
      </c>
      <c r="G64" s="7">
        <v>45974</v>
      </c>
      <c r="H64" s="26">
        <v>736</v>
      </c>
      <c r="I64" s="16">
        <f>Table1[[#This Row],[SỐ LƯỢNG ]]*1000</f>
        <v>80000</v>
      </c>
      <c r="J64" s="16">
        <v>8000</v>
      </c>
      <c r="K64" s="16">
        <f>Table1[[#This Row],[SỐ LƯỢNG ]]*Table1[[#This Row],[ĐƠN GIÁ /1 KG]]</f>
        <v>640000</v>
      </c>
      <c r="L64" s="16"/>
      <c r="M64" s="16"/>
      <c r="N64" s="16"/>
      <c r="O64" s="16"/>
      <c r="P64" s="16"/>
      <c r="Q64" s="16"/>
      <c r="R64" s="16"/>
      <c r="S64" s="16"/>
      <c r="T64" s="16"/>
      <c r="U64" s="16"/>
      <c r="V64" s="16"/>
      <c r="W64" s="16"/>
      <c r="X64" s="16"/>
      <c r="Y64" s="16"/>
      <c r="Z64" s="16"/>
      <c r="AA64" s="16"/>
      <c r="AB64" s="16"/>
      <c r="AC64" s="16"/>
      <c r="AD64" s="16"/>
      <c r="AE64" s="16"/>
      <c r="AF64" s="16"/>
      <c r="AG64" s="16"/>
      <c r="AH64" s="16">
        <v>80000</v>
      </c>
      <c r="AI64" s="16"/>
      <c r="AJ64" s="16"/>
      <c r="AK64" s="16"/>
      <c r="AL64" s="16"/>
      <c r="AM64" s="16"/>
      <c r="AN64" s="16"/>
      <c r="AO64" s="31">
        <f>Table1[[#This Row],[QUY ĐỔI GRAM]]-SUM(Table1[[#This Row],[XK ĐỒNG TÂM]:[XK LSX 8]])</f>
        <v>0</v>
      </c>
      <c r="AP64" s="31">
        <f>Table1[[#This Row],[CÒN LẠI (gram)]]*Table1[[#This Row],[ĐƠN GIÁ /1 KG]]/1000</f>
        <v>0</v>
      </c>
      <c r="AQ64" s="3" t="s">
        <v>141</v>
      </c>
      <c r="AR64" s="3"/>
      <c r="AS64" s="20"/>
      <c r="AT64" s="3"/>
      <c r="AU64" s="3"/>
    </row>
    <row r="65" spans="1:47" s="4" customFormat="1" ht="24" customHeight="1" x14ac:dyDescent="0.35">
      <c r="A65" s="5">
        <v>62</v>
      </c>
      <c r="B65" s="13" t="s">
        <v>147</v>
      </c>
      <c r="C65" s="3"/>
      <c r="D65" s="8" t="s">
        <v>430</v>
      </c>
      <c r="E65" s="15" t="s">
        <v>17</v>
      </c>
      <c r="F65" s="23">
        <v>2</v>
      </c>
      <c r="G65" s="7">
        <v>45974</v>
      </c>
      <c r="H65" s="26">
        <v>11653</v>
      </c>
      <c r="I65" s="16">
        <f>Table1[[#This Row],[SỐ LƯỢNG ]]*1000</f>
        <v>2000</v>
      </c>
      <c r="J65" s="24">
        <v>694444.45</v>
      </c>
      <c r="K65" s="16">
        <f>Table1[[#This Row],[SỐ LƯỢNG ]]*Table1[[#This Row],[ĐƠN GIÁ /1 KG]]</f>
        <v>1388888.9</v>
      </c>
      <c r="L65" s="16"/>
      <c r="M65" s="16"/>
      <c r="N65" s="16"/>
      <c r="O65" s="16"/>
      <c r="P65" s="16"/>
      <c r="Q65" s="16"/>
      <c r="R65" s="16"/>
      <c r="S65" s="16"/>
      <c r="T65" s="16"/>
      <c r="U65" s="16"/>
      <c r="V65" s="16"/>
      <c r="W65" s="16"/>
      <c r="X65" s="16"/>
      <c r="Y65" s="16">
        <v>502.25</v>
      </c>
      <c r="Z65" s="16">
        <v>300</v>
      </c>
      <c r="AA65" s="16"/>
      <c r="AB65" s="63">
        <v>51.300000000000004</v>
      </c>
      <c r="AC65" s="63"/>
      <c r="AD65" s="63"/>
      <c r="AE65" s="63"/>
      <c r="AF65" s="152">
        <v>541.20000000000005</v>
      </c>
      <c r="AG65" s="152">
        <v>548.4</v>
      </c>
      <c r="AH65" s="152"/>
      <c r="AI65" s="152"/>
      <c r="AJ65" s="152"/>
      <c r="AK65" s="152"/>
      <c r="AL65" s="152"/>
      <c r="AM65" s="152"/>
      <c r="AN65" s="16"/>
      <c r="AO65" s="104">
        <f>Table1[[#This Row],[QUY ĐỔI GRAM]]-SUM(Table1[[#This Row],[XK ĐỒNG TÂM]:[XK LSX 8]])</f>
        <v>56.849999999999909</v>
      </c>
      <c r="AP65" s="31">
        <f>Table1[[#This Row],[CÒN LẠI (gram)]]*Table1[[#This Row],[ĐƠN GIÁ /1 KG]]/1000</f>
        <v>39479.166982499934</v>
      </c>
      <c r="AQ65" s="3" t="s">
        <v>39</v>
      </c>
      <c r="AR65" s="3"/>
      <c r="AS65" s="20"/>
      <c r="AT65" s="3"/>
      <c r="AU65" s="3"/>
    </row>
    <row r="66" spans="1:47" s="4" customFormat="1" ht="24" customHeight="1" x14ac:dyDescent="0.35">
      <c r="A66" s="5">
        <v>63</v>
      </c>
      <c r="B66" s="13" t="s">
        <v>148</v>
      </c>
      <c r="C66" s="3"/>
      <c r="D66" s="8" t="s">
        <v>416</v>
      </c>
      <c r="E66" s="15" t="s">
        <v>17</v>
      </c>
      <c r="F66" s="23">
        <v>5</v>
      </c>
      <c r="G66" s="7">
        <v>45979</v>
      </c>
      <c r="H66" s="26">
        <v>11867</v>
      </c>
      <c r="I66" s="16">
        <f>Table1[[#This Row],[SỐ LƯỢNG ]]*1000</f>
        <v>5000</v>
      </c>
      <c r="J66" s="23">
        <v>861111.11</v>
      </c>
      <c r="K66" s="16">
        <f>Table1[[#This Row],[SỐ LƯỢNG ]]*Table1[[#This Row],[ĐƠN GIÁ /1 KG]]</f>
        <v>4305555.55</v>
      </c>
      <c r="L66" s="16"/>
      <c r="M66" s="16"/>
      <c r="N66" s="16"/>
      <c r="O66" s="16"/>
      <c r="P66" s="16"/>
      <c r="Q66" s="16"/>
      <c r="R66" s="16"/>
      <c r="S66" s="16"/>
      <c r="T66" s="16"/>
      <c r="U66" s="16"/>
      <c r="V66" s="16"/>
      <c r="W66" s="16">
        <v>2006</v>
      </c>
      <c r="X66" s="16">
        <v>600</v>
      </c>
      <c r="Y66" s="16"/>
      <c r="Z66" s="16"/>
      <c r="AA66" s="16"/>
      <c r="AB66" s="16"/>
      <c r="AC66" s="16"/>
      <c r="AD66" s="16">
        <v>750</v>
      </c>
      <c r="AE66" s="16"/>
      <c r="AF66" s="16"/>
      <c r="AG66" s="16"/>
      <c r="AH66" s="16">
        <v>1644</v>
      </c>
      <c r="AI66" s="16"/>
      <c r="AJ66" s="16"/>
      <c r="AK66" s="16"/>
      <c r="AL66" s="16"/>
      <c r="AM66" s="16"/>
      <c r="AN66" s="16"/>
      <c r="AO66" s="31">
        <f>Table1[[#This Row],[QUY ĐỔI GRAM]]-SUM(Table1[[#This Row],[XK ĐỒNG TÂM]:[XK LSX 8]])</f>
        <v>0</v>
      </c>
      <c r="AP66" s="31">
        <f>Table1[[#This Row],[CÒN LẠI (gram)]]*Table1[[#This Row],[ĐƠN GIÁ /1 KG]]/1000</f>
        <v>0</v>
      </c>
      <c r="AQ66" s="3" t="s">
        <v>39</v>
      </c>
      <c r="AR66" s="3"/>
      <c r="AS66" s="20"/>
      <c r="AT66" s="3"/>
      <c r="AU66" s="3"/>
    </row>
    <row r="67" spans="1:47" s="4" customFormat="1" ht="24" customHeight="1" x14ac:dyDescent="0.35">
      <c r="A67" s="5">
        <v>64</v>
      </c>
      <c r="B67" s="13" t="s">
        <v>149</v>
      </c>
      <c r="C67" s="3"/>
      <c r="D67" s="8" t="s">
        <v>416</v>
      </c>
      <c r="E67" s="15" t="s">
        <v>17</v>
      </c>
      <c r="F67" s="23">
        <v>5</v>
      </c>
      <c r="G67" s="7">
        <v>45979</v>
      </c>
      <c r="H67" s="26">
        <v>11867</v>
      </c>
      <c r="I67" s="16">
        <f>Table1[[#This Row],[SỐ LƯỢNG ]]*1000</f>
        <v>5000</v>
      </c>
      <c r="J67" s="16">
        <v>1361111.11</v>
      </c>
      <c r="K67" s="16">
        <f>Table1[[#This Row],[SỐ LƯỢNG ]]*Table1[[#This Row],[ĐƠN GIÁ /1 KG]]</f>
        <v>6805555.5500000007</v>
      </c>
      <c r="L67" s="16"/>
      <c r="M67" s="16"/>
      <c r="N67" s="16"/>
      <c r="O67" s="16"/>
      <c r="P67" s="16"/>
      <c r="Q67" s="16"/>
      <c r="R67" s="16"/>
      <c r="S67" s="16"/>
      <c r="T67" s="16"/>
      <c r="U67" s="16"/>
      <c r="V67" s="16">
        <v>3000</v>
      </c>
      <c r="W67" s="16"/>
      <c r="X67" s="16"/>
      <c r="Y67" s="16"/>
      <c r="Z67" s="16"/>
      <c r="AA67" s="16"/>
      <c r="AB67" s="16"/>
      <c r="AC67" s="16"/>
      <c r="AD67" s="16"/>
      <c r="AE67" s="16"/>
      <c r="AF67" s="23">
        <v>1623.6</v>
      </c>
      <c r="AG67" s="23">
        <v>376.4</v>
      </c>
      <c r="AH67" s="23"/>
      <c r="AI67" s="23"/>
      <c r="AJ67" s="23"/>
      <c r="AK67" s="23"/>
      <c r="AL67" s="23"/>
      <c r="AM67" s="23"/>
      <c r="AN67" s="16"/>
      <c r="AO67" s="104">
        <f>Table1[[#This Row],[QUY ĐỔI GRAM]]-SUM(Table1[[#This Row],[XK ĐỒNG TÂM]:[XK LSX 8]])</f>
        <v>0</v>
      </c>
      <c r="AP67" s="31">
        <f>Table1[[#This Row],[CÒN LẠI (gram)]]*Table1[[#This Row],[ĐƠN GIÁ /1 KG]]/1000</f>
        <v>0</v>
      </c>
      <c r="AQ67" s="3" t="s">
        <v>39</v>
      </c>
      <c r="AR67" s="3"/>
      <c r="AS67" s="20"/>
      <c r="AT67" s="3"/>
      <c r="AU67" s="3"/>
    </row>
    <row r="68" spans="1:47" s="4" customFormat="1" ht="24" customHeight="1" x14ac:dyDescent="0.35">
      <c r="A68" s="5">
        <v>65</v>
      </c>
      <c r="B68" s="13" t="s">
        <v>150</v>
      </c>
      <c r="C68" s="3"/>
      <c r="D68" s="8" t="s">
        <v>196</v>
      </c>
      <c r="E68" s="137" t="s">
        <v>140</v>
      </c>
      <c r="F68" s="23">
        <v>300</v>
      </c>
      <c r="G68" s="7">
        <v>45982</v>
      </c>
      <c r="H68" s="26">
        <v>906</v>
      </c>
      <c r="I68" s="148">
        <f>Table1[[#This Row],[SỐ LƯỢNG ]]*1000</f>
        <v>300000</v>
      </c>
      <c r="J68" s="16">
        <v>105000</v>
      </c>
      <c r="K68" s="16">
        <f>Table1[[#This Row],[SỐ LƯỢNG ]]*Table1[[#This Row],[ĐƠN GIÁ /1 KG]]</f>
        <v>31500000</v>
      </c>
      <c r="L68" s="16"/>
      <c r="M68" s="16"/>
      <c r="N68" s="16"/>
      <c r="O68" s="16"/>
      <c r="P68" s="16"/>
      <c r="Q68" s="16"/>
      <c r="R68" s="16"/>
      <c r="S68" s="16"/>
      <c r="T68" s="16"/>
      <c r="U68" s="16"/>
      <c r="V68" s="16"/>
      <c r="W68" s="16"/>
      <c r="X68" s="16"/>
      <c r="Y68" s="16">
        <v>2009</v>
      </c>
      <c r="Z68" s="16"/>
      <c r="AA68" s="16"/>
      <c r="AB68" s="16"/>
      <c r="AC68" s="16"/>
      <c r="AD68" s="16"/>
      <c r="AE68" s="16"/>
      <c r="AF68" s="149">
        <v>146112.31</v>
      </c>
      <c r="AG68" s="149">
        <v>148056.16</v>
      </c>
      <c r="AH68" s="149"/>
      <c r="AI68" s="149"/>
      <c r="AJ68" s="149"/>
      <c r="AK68" s="149"/>
      <c r="AL68" s="149"/>
      <c r="AM68" s="149"/>
      <c r="AN68" s="16"/>
      <c r="AO68" s="120">
        <f>Table1[[#This Row],[QUY ĐỔI GRAM]]-SUM(Table1[[#This Row],[XK ĐỒNG TÂM]:[XK LSX 8]])</f>
        <v>3822.5300000000279</v>
      </c>
      <c r="AP68" s="31">
        <f>Table1[[#This Row],[CÒN LẠI (gram)]]*Table1[[#This Row],[ĐƠN GIÁ /1 KG]]/1000</f>
        <v>401365.65000000293</v>
      </c>
      <c r="AQ68" s="3" t="s">
        <v>151</v>
      </c>
      <c r="AR68" s="3"/>
      <c r="AS68" s="20"/>
      <c r="AT68" s="3"/>
      <c r="AU68" s="3"/>
    </row>
    <row r="69" spans="1:47" s="4" customFormat="1" ht="24" customHeight="1" x14ac:dyDescent="0.35">
      <c r="A69" s="5">
        <v>66</v>
      </c>
      <c r="B69" s="13" t="s">
        <v>152</v>
      </c>
      <c r="C69" s="3"/>
      <c r="D69" s="8" t="s">
        <v>197</v>
      </c>
      <c r="E69" s="137" t="s">
        <v>140</v>
      </c>
      <c r="F69" s="23">
        <v>120</v>
      </c>
      <c r="G69" s="7">
        <v>45982</v>
      </c>
      <c r="H69" s="26">
        <v>906</v>
      </c>
      <c r="I69" s="148">
        <f>Table1[[#This Row],[SỐ LƯỢNG ]]*1000</f>
        <v>120000</v>
      </c>
      <c r="J69" s="16">
        <v>210000</v>
      </c>
      <c r="K69" s="16">
        <f>Table1[[#This Row],[SỐ LƯỢNG ]]*Table1[[#This Row],[ĐƠN GIÁ /1 KG]]</f>
        <v>25200000</v>
      </c>
      <c r="L69" s="16"/>
      <c r="M69" s="16"/>
      <c r="N69" s="16"/>
      <c r="O69" s="16"/>
      <c r="P69" s="16"/>
      <c r="Q69" s="16"/>
      <c r="R69" s="16"/>
      <c r="S69" s="16"/>
      <c r="T69" s="16"/>
      <c r="U69" s="16"/>
      <c r="V69" s="16"/>
      <c r="W69" s="16"/>
      <c r="X69" s="16"/>
      <c r="Y69" s="16"/>
      <c r="Z69" s="16"/>
      <c r="AA69" s="16"/>
      <c r="AB69" s="16"/>
      <c r="AC69" s="16"/>
      <c r="AD69" s="16"/>
      <c r="AE69" s="16"/>
      <c r="AF69" s="149">
        <v>58444.92</v>
      </c>
      <c r="AG69" s="149">
        <v>59222.46</v>
      </c>
      <c r="AH69" s="149">
        <v>2000</v>
      </c>
      <c r="AI69" s="149"/>
      <c r="AJ69" s="149"/>
      <c r="AK69" s="149"/>
      <c r="AL69" s="149"/>
      <c r="AM69" s="149"/>
      <c r="AN69" s="16"/>
      <c r="AO69" s="120">
        <f>Table1[[#This Row],[QUY ĐỔI GRAM]]-SUM(Table1[[#This Row],[XK ĐỒNG TÂM]:[XK LSX 8]])</f>
        <v>332.61999999999534</v>
      </c>
      <c r="AP69" s="31">
        <f>Table1[[#This Row],[CÒN LẠI (gram)]]*Table1[[#This Row],[ĐƠN GIÁ /1 KG]]/1000</f>
        <v>69850.199999999022</v>
      </c>
      <c r="AQ69" s="3" t="s">
        <v>151</v>
      </c>
      <c r="AR69" s="3"/>
      <c r="AS69" s="20"/>
      <c r="AT69" s="3"/>
      <c r="AU69" s="3"/>
    </row>
    <row r="70" spans="1:47" s="4" customFormat="1" ht="24" customHeight="1" x14ac:dyDescent="0.35">
      <c r="A70" s="5">
        <v>67</v>
      </c>
      <c r="B70" s="13" t="s">
        <v>153</v>
      </c>
      <c r="C70" s="3"/>
      <c r="D70" s="8" t="s">
        <v>198</v>
      </c>
      <c r="E70" s="137" t="s">
        <v>140</v>
      </c>
      <c r="F70" s="23">
        <v>510</v>
      </c>
      <c r="G70" s="7">
        <v>45982</v>
      </c>
      <c r="H70" s="26">
        <v>906</v>
      </c>
      <c r="I70" s="148">
        <f>Table1[[#This Row],[SỐ LƯỢNG ]]*1000</f>
        <v>510000</v>
      </c>
      <c r="J70" s="16">
        <v>138000</v>
      </c>
      <c r="K70" s="16">
        <f>Table1[[#This Row],[SỐ LƯỢNG ]]*Table1[[#This Row],[ĐƠN GIÁ /1 KG]]</f>
        <v>70380000</v>
      </c>
      <c r="L70" s="16"/>
      <c r="M70" s="16"/>
      <c r="N70" s="16"/>
      <c r="O70" s="16"/>
      <c r="P70" s="16"/>
      <c r="Q70" s="16"/>
      <c r="R70" s="16"/>
      <c r="S70" s="16"/>
      <c r="T70" s="16"/>
      <c r="U70" s="16"/>
      <c r="V70" s="16"/>
      <c r="W70" s="16"/>
      <c r="X70" s="16"/>
      <c r="Y70" s="16"/>
      <c r="Z70" s="16"/>
      <c r="AA70" s="16">
        <v>627</v>
      </c>
      <c r="AB70" s="16">
        <v>1539</v>
      </c>
      <c r="AC70" s="16"/>
      <c r="AD70" s="16"/>
      <c r="AE70" s="16"/>
      <c r="AF70" s="149">
        <v>247732.39</v>
      </c>
      <c r="AG70" s="149">
        <v>251028.17</v>
      </c>
      <c r="AH70" s="149"/>
      <c r="AI70" s="149"/>
      <c r="AJ70" s="149"/>
      <c r="AK70" s="149"/>
      <c r="AL70" s="149"/>
      <c r="AM70" s="149"/>
      <c r="AN70" s="16"/>
      <c r="AO70" s="120">
        <f>Table1[[#This Row],[QUY ĐỔI GRAM]]-SUM(Table1[[#This Row],[XK ĐỒNG TÂM]:[XK LSX 8]])</f>
        <v>9073.4399999999441</v>
      </c>
      <c r="AP70" s="31">
        <f>Table1[[#This Row],[CÒN LẠI (gram)]]*Table1[[#This Row],[ĐƠN GIÁ /1 KG]]/1000</f>
        <v>1252134.7199999923</v>
      </c>
      <c r="AQ70" s="3" t="s">
        <v>151</v>
      </c>
      <c r="AR70" s="3"/>
      <c r="AS70" s="20"/>
      <c r="AT70" s="3"/>
      <c r="AU70" s="3"/>
    </row>
    <row r="71" spans="1:47" s="4" customFormat="1" ht="24" customHeight="1" x14ac:dyDescent="0.35">
      <c r="A71" s="5">
        <v>68</v>
      </c>
      <c r="B71" s="13" t="s">
        <v>154</v>
      </c>
      <c r="C71" s="3" t="s">
        <v>200</v>
      </c>
      <c r="D71" s="8" t="s">
        <v>199</v>
      </c>
      <c r="E71" s="137" t="s">
        <v>140</v>
      </c>
      <c r="F71" s="23">
        <v>200</v>
      </c>
      <c r="G71" s="7">
        <v>45982</v>
      </c>
      <c r="H71" s="26">
        <v>906</v>
      </c>
      <c r="I71" s="148">
        <f>Table1[[#This Row],[SỐ LƯỢNG ]]*1000</f>
        <v>200000</v>
      </c>
      <c r="J71" s="16">
        <v>80000</v>
      </c>
      <c r="K71" s="16">
        <f>Table1[[#This Row],[SỐ LƯỢNG ]]*Table1[[#This Row],[ĐƠN GIÁ /1 KG]]</f>
        <v>16000000</v>
      </c>
      <c r="L71" s="16"/>
      <c r="M71" s="16">
        <v>2250</v>
      </c>
      <c r="N71" s="16">
        <v>2250</v>
      </c>
      <c r="O71" s="16">
        <v>2250</v>
      </c>
      <c r="P71" s="16">
        <v>2250</v>
      </c>
      <c r="Q71" s="16">
        <v>2250</v>
      </c>
      <c r="R71" s="16">
        <v>2250</v>
      </c>
      <c r="S71" s="16"/>
      <c r="T71" s="16"/>
      <c r="U71" s="16">
        <v>300</v>
      </c>
      <c r="V71" s="16"/>
      <c r="W71" s="16"/>
      <c r="X71" s="16"/>
      <c r="Y71" s="16">
        <v>30135</v>
      </c>
      <c r="Z71" s="16"/>
      <c r="AA71" s="16"/>
      <c r="AB71" s="16"/>
      <c r="AC71" s="16"/>
      <c r="AD71" s="16"/>
      <c r="AE71" s="16"/>
      <c r="AF71" s="149">
        <v>75692.31</v>
      </c>
      <c r="AG71" s="149">
        <v>76699.3</v>
      </c>
      <c r="AH71" s="149"/>
      <c r="AI71" s="149"/>
      <c r="AJ71" s="149"/>
      <c r="AK71" s="149"/>
      <c r="AL71" s="149"/>
      <c r="AM71" s="149"/>
      <c r="AN71" s="16"/>
      <c r="AO71" s="120">
        <f>Table1[[#This Row],[QUY ĐỔI GRAM]]-SUM(Table1[[#This Row],[XK ĐỒNG TÂM]:[XK LSX 8]])</f>
        <v>3673.390000000014</v>
      </c>
      <c r="AP71" s="31">
        <f>Table1[[#This Row],[CÒN LẠI (gram)]]*Table1[[#This Row],[ĐƠN GIÁ /1 KG]]/1000</f>
        <v>293871.20000000112</v>
      </c>
      <c r="AQ71" s="3" t="s">
        <v>151</v>
      </c>
      <c r="AR71" s="3"/>
      <c r="AS71" s="20"/>
      <c r="AT71" s="3"/>
      <c r="AU71" s="3"/>
    </row>
    <row r="72" spans="1:47" s="4" customFormat="1" ht="24" customHeight="1" x14ac:dyDescent="0.35">
      <c r="A72" s="5">
        <v>69</v>
      </c>
      <c r="B72" s="13" t="s">
        <v>155</v>
      </c>
      <c r="C72" s="3" t="s">
        <v>202</v>
      </c>
      <c r="D72" s="17" t="s">
        <v>201</v>
      </c>
      <c r="E72" s="15" t="s">
        <v>17</v>
      </c>
      <c r="F72" s="23">
        <v>50</v>
      </c>
      <c r="G72" s="7">
        <v>45982</v>
      </c>
      <c r="H72" s="26">
        <v>6333</v>
      </c>
      <c r="I72" s="16">
        <f>Table1[[#This Row],[SỐ LƯỢNG ]]*1000</f>
        <v>50000</v>
      </c>
      <c r="J72" s="16">
        <v>166667</v>
      </c>
      <c r="K72" s="16">
        <f>Table1[[#This Row],[SỐ LƯỢNG ]]*Table1[[#This Row],[ĐƠN GIÁ /1 KG]]</f>
        <v>8333350</v>
      </c>
      <c r="L72" s="16"/>
      <c r="M72" s="16">
        <v>3374.9999999999995</v>
      </c>
      <c r="N72" s="16">
        <v>3374.9999999999995</v>
      </c>
      <c r="O72" s="16">
        <v>3374.9999999999995</v>
      </c>
      <c r="P72" s="16">
        <v>3374.9999999999995</v>
      </c>
      <c r="Q72" s="16">
        <v>3374.9999999999995</v>
      </c>
      <c r="R72" s="16">
        <v>3374.9999999999995</v>
      </c>
      <c r="S72" s="16"/>
      <c r="T72" s="16"/>
      <c r="U72" s="16">
        <v>1000</v>
      </c>
      <c r="V72" s="16"/>
      <c r="W72" s="16"/>
      <c r="X72" s="16"/>
      <c r="Y72" s="23">
        <v>5022.5</v>
      </c>
      <c r="Z72" s="16"/>
      <c r="AA72" s="16"/>
      <c r="AB72" s="16"/>
      <c r="AC72" s="16"/>
      <c r="AD72" s="16"/>
      <c r="AE72" s="16"/>
      <c r="AF72" s="23">
        <v>12613.2</v>
      </c>
      <c r="AG72" s="23">
        <v>11114.3</v>
      </c>
      <c r="AH72" s="23"/>
      <c r="AI72" s="23"/>
      <c r="AJ72" s="23"/>
      <c r="AK72" s="23"/>
      <c r="AL72" s="23"/>
      <c r="AM72" s="23"/>
      <c r="AN72" s="16"/>
      <c r="AO72" s="104">
        <f>Table1[[#This Row],[QUY ĐỔI GRAM]]-SUM(Table1[[#This Row],[XK ĐỒNG TÂM]:[XK LSX 8]])</f>
        <v>0</v>
      </c>
      <c r="AP72" s="31">
        <f>Table1[[#This Row],[CÒN LẠI (gram)]]*Table1[[#This Row],[ĐƠN GIÁ /1 KG]]/1000</f>
        <v>0</v>
      </c>
      <c r="AQ72" s="3" t="s">
        <v>275</v>
      </c>
      <c r="AR72" s="3"/>
      <c r="AS72" s="20"/>
      <c r="AT72" s="3"/>
      <c r="AU72" s="3"/>
    </row>
    <row r="73" spans="1:47" s="4" customFormat="1" ht="24" customHeight="1" x14ac:dyDescent="0.35">
      <c r="A73" s="5">
        <v>70</v>
      </c>
      <c r="B73" s="3" t="s">
        <v>181</v>
      </c>
      <c r="C73" s="3"/>
      <c r="D73" s="8"/>
      <c r="E73" s="15" t="s">
        <v>24</v>
      </c>
      <c r="F73" s="23">
        <v>1200</v>
      </c>
      <c r="G73" s="7">
        <v>45982</v>
      </c>
      <c r="H73" s="26">
        <v>1278</v>
      </c>
      <c r="I73" s="16"/>
      <c r="J73" s="16">
        <v>4500</v>
      </c>
      <c r="K73" s="16">
        <f>Table1[[#This Row],[SỐ LƯỢNG ]]*Table1[[#This Row],[ĐƠN GIÁ /1 KG]]</f>
        <v>5400000</v>
      </c>
      <c r="L73" s="16"/>
      <c r="M73" s="16"/>
      <c r="N73" s="16"/>
      <c r="O73" s="16"/>
      <c r="P73" s="16"/>
      <c r="Q73" s="16"/>
      <c r="R73" s="16"/>
      <c r="S73" s="16"/>
      <c r="T73" s="16"/>
      <c r="U73" s="16"/>
      <c r="V73" s="16"/>
      <c r="W73" s="16"/>
      <c r="X73" s="16"/>
      <c r="Y73" s="16"/>
      <c r="Z73" s="16"/>
      <c r="AA73" s="16">
        <v>1200</v>
      </c>
      <c r="AB73" s="16"/>
      <c r="AC73" s="16"/>
      <c r="AD73" s="16"/>
      <c r="AE73" s="16"/>
      <c r="AF73" s="16"/>
      <c r="AG73" s="16"/>
      <c r="AH73" s="16"/>
      <c r="AI73" s="16"/>
      <c r="AJ73" s="16"/>
      <c r="AK73" s="16"/>
      <c r="AL73" s="16"/>
      <c r="AM73" s="16"/>
      <c r="AN73" s="16"/>
      <c r="AO73" s="51">
        <f>Table1[[#This Row],[SỐ LƯỢNG ]]-SUM(Table1[[#This Row],[XK ĐỒNG TÂM]:[XK LSX 8]])</f>
        <v>0</v>
      </c>
      <c r="AP73" s="51">
        <f>Table1[[#This Row],[CÒN LẠI (gram)]]*Table1[[#This Row],[ĐƠN GIÁ /1 KG]]</f>
        <v>0</v>
      </c>
      <c r="AQ73" s="3" t="s">
        <v>25</v>
      </c>
      <c r="AR73" s="3"/>
      <c r="AS73" s="20"/>
      <c r="AT73" s="3"/>
      <c r="AU73" s="3"/>
    </row>
    <row r="74" spans="1:47" s="4" customFormat="1" ht="24" customHeight="1" x14ac:dyDescent="0.35">
      <c r="A74" s="5">
        <v>71</v>
      </c>
      <c r="B74" s="3" t="s">
        <v>156</v>
      </c>
      <c r="C74" s="3"/>
      <c r="D74" s="8"/>
      <c r="E74" s="15" t="s">
        <v>24</v>
      </c>
      <c r="F74" s="23">
        <v>500</v>
      </c>
      <c r="G74" s="7">
        <v>45982</v>
      </c>
      <c r="H74" s="26">
        <v>1278</v>
      </c>
      <c r="I74" s="16"/>
      <c r="J74" s="16">
        <v>4000</v>
      </c>
      <c r="K74" s="16">
        <f>Table1[[#This Row],[SỐ LƯỢNG ]]*Table1[[#This Row],[ĐƠN GIÁ /1 KG]]</f>
        <v>2000000</v>
      </c>
      <c r="L74" s="16"/>
      <c r="M74" s="16"/>
      <c r="N74" s="16"/>
      <c r="O74" s="16"/>
      <c r="P74" s="16"/>
      <c r="Q74" s="16"/>
      <c r="R74" s="16"/>
      <c r="S74" s="16"/>
      <c r="T74" s="16"/>
      <c r="U74" s="16"/>
      <c r="V74" s="16"/>
      <c r="W74" s="16"/>
      <c r="X74" s="16"/>
      <c r="Y74" s="16"/>
      <c r="Z74" s="16">
        <v>500</v>
      </c>
      <c r="AA74" s="16"/>
      <c r="AB74" s="16"/>
      <c r="AC74" s="16"/>
      <c r="AD74" s="16"/>
      <c r="AE74" s="16"/>
      <c r="AF74" s="16"/>
      <c r="AG74" s="16"/>
      <c r="AH74" s="16"/>
      <c r="AI74" s="16"/>
      <c r="AJ74" s="16"/>
      <c r="AK74" s="16"/>
      <c r="AL74" s="16"/>
      <c r="AM74" s="16"/>
      <c r="AN74" s="16"/>
      <c r="AO74" s="51">
        <f>Table1[[#This Row],[SỐ LƯỢNG ]]-SUM(Table1[[#This Row],[XK ĐỒNG TÂM]:[XK LSX 8]])</f>
        <v>0</v>
      </c>
      <c r="AP74" s="51">
        <f>Table1[[#This Row],[CÒN LẠI (gram)]]*Table1[[#This Row],[ĐƠN GIÁ /1 KG]]</f>
        <v>0</v>
      </c>
      <c r="AQ74" s="3" t="s">
        <v>25</v>
      </c>
      <c r="AR74" s="3"/>
      <c r="AS74" s="20"/>
      <c r="AT74" s="3"/>
      <c r="AU74" s="3"/>
    </row>
    <row r="75" spans="1:47" s="4" customFormat="1" ht="24" customHeight="1" x14ac:dyDescent="0.35">
      <c r="A75" s="5">
        <v>72</v>
      </c>
      <c r="B75" s="3" t="s">
        <v>157</v>
      </c>
      <c r="C75" s="3"/>
      <c r="D75" s="8"/>
      <c r="E75" s="15" t="s">
        <v>24</v>
      </c>
      <c r="F75" s="23">
        <v>2000</v>
      </c>
      <c r="G75" s="7">
        <v>45982</v>
      </c>
      <c r="H75" s="26">
        <v>1278</v>
      </c>
      <c r="I75" s="16"/>
      <c r="J75" s="16">
        <v>4500</v>
      </c>
      <c r="K75" s="16">
        <f>Table1[[#This Row],[SỐ LƯỢNG ]]*Table1[[#This Row],[ĐƠN GIÁ /1 KG]]</f>
        <v>9000000</v>
      </c>
      <c r="L75" s="16"/>
      <c r="M75" s="16"/>
      <c r="N75" s="16"/>
      <c r="O75" s="16"/>
      <c r="P75" s="16"/>
      <c r="Q75" s="16"/>
      <c r="R75" s="16"/>
      <c r="S75" s="16"/>
      <c r="T75" s="16"/>
      <c r="U75" s="16"/>
      <c r="V75" s="16"/>
      <c r="W75" s="16"/>
      <c r="X75" s="16"/>
      <c r="Y75" s="16"/>
      <c r="Z75" s="16"/>
      <c r="AA75" s="16"/>
      <c r="AB75" s="16"/>
      <c r="AC75" s="16">
        <v>2000</v>
      </c>
      <c r="AD75" s="16"/>
      <c r="AE75" s="16"/>
      <c r="AF75" s="16"/>
      <c r="AG75" s="16"/>
      <c r="AH75" s="16"/>
      <c r="AI75" s="16"/>
      <c r="AJ75" s="16"/>
      <c r="AK75" s="16"/>
      <c r="AL75" s="16"/>
      <c r="AM75" s="16"/>
      <c r="AN75" s="16"/>
      <c r="AO75" s="51">
        <f>Table1[[#This Row],[SỐ LƯỢNG ]]-SUM(Table1[[#This Row],[XK ĐỒNG TÂM]:[XK LSX 8]])</f>
        <v>0</v>
      </c>
      <c r="AP75" s="51">
        <f>Table1[[#This Row],[CÒN LẠI (gram)]]*Table1[[#This Row],[ĐƠN GIÁ /1 KG]]</f>
        <v>0</v>
      </c>
      <c r="AQ75" s="3" t="s">
        <v>25</v>
      </c>
      <c r="AR75" s="3"/>
      <c r="AS75" s="20"/>
      <c r="AT75" s="3"/>
      <c r="AU75" s="3"/>
    </row>
    <row r="76" spans="1:47" s="4" customFormat="1" ht="24" customHeight="1" x14ac:dyDescent="0.35">
      <c r="A76" s="5">
        <v>73</v>
      </c>
      <c r="B76" s="3" t="s">
        <v>158</v>
      </c>
      <c r="C76" s="3"/>
      <c r="D76" s="8"/>
      <c r="E76" s="15" t="s">
        <v>24</v>
      </c>
      <c r="F76" s="23">
        <v>2000</v>
      </c>
      <c r="G76" s="7">
        <v>45982</v>
      </c>
      <c r="H76" s="26">
        <v>1278</v>
      </c>
      <c r="I76" s="16"/>
      <c r="J76" s="16">
        <v>4500</v>
      </c>
      <c r="K76" s="16">
        <f>Table1[[#This Row],[SỐ LƯỢNG ]]*Table1[[#This Row],[ĐƠN GIÁ /1 KG]]</f>
        <v>9000000</v>
      </c>
      <c r="L76" s="16"/>
      <c r="M76" s="16"/>
      <c r="N76" s="16"/>
      <c r="O76" s="16"/>
      <c r="P76" s="16"/>
      <c r="Q76" s="16"/>
      <c r="R76" s="16"/>
      <c r="S76" s="16"/>
      <c r="T76" s="16"/>
      <c r="U76" s="16"/>
      <c r="V76" s="16"/>
      <c r="W76" s="16"/>
      <c r="X76" s="16"/>
      <c r="Y76" s="16"/>
      <c r="Z76" s="16"/>
      <c r="AA76" s="16"/>
      <c r="AB76" s="16">
        <v>2000</v>
      </c>
      <c r="AC76" s="16"/>
      <c r="AD76" s="16"/>
      <c r="AE76" s="16"/>
      <c r="AF76" s="16"/>
      <c r="AG76" s="16"/>
      <c r="AH76" s="16"/>
      <c r="AI76" s="16"/>
      <c r="AJ76" s="16"/>
      <c r="AK76" s="16"/>
      <c r="AL76" s="16"/>
      <c r="AM76" s="16"/>
      <c r="AN76" s="16"/>
      <c r="AO76" s="51">
        <f>Table1[[#This Row],[SỐ LƯỢNG ]]-SUM(Table1[[#This Row],[XK ĐỒNG TÂM]:[XK LSX 8]])</f>
        <v>0</v>
      </c>
      <c r="AP76" s="51">
        <f>Table1[[#This Row],[CÒN LẠI (gram)]]*Table1[[#This Row],[ĐƠN GIÁ /1 KG]]</f>
        <v>0</v>
      </c>
      <c r="AQ76" s="3" t="s">
        <v>25</v>
      </c>
      <c r="AR76" s="3"/>
      <c r="AS76" s="20"/>
      <c r="AT76" s="3"/>
      <c r="AU76" s="3"/>
    </row>
    <row r="77" spans="1:47" s="4" customFormat="1" ht="24" customHeight="1" x14ac:dyDescent="0.35">
      <c r="A77" s="5">
        <v>74</v>
      </c>
      <c r="B77" s="13" t="s">
        <v>159</v>
      </c>
      <c r="C77" s="3"/>
      <c r="D77" s="8" t="s">
        <v>189</v>
      </c>
      <c r="E77" s="15" t="s">
        <v>17</v>
      </c>
      <c r="F77" s="23">
        <v>4</v>
      </c>
      <c r="G77" s="7">
        <v>45985</v>
      </c>
      <c r="H77" s="26">
        <v>12118</v>
      </c>
      <c r="I77" s="16">
        <f>Table1[[#This Row],[SỐ LƯỢNG ]]*1000</f>
        <v>4000</v>
      </c>
      <c r="J77" s="24">
        <v>180555.56</v>
      </c>
      <c r="K77" s="16">
        <f>Table1[[#This Row],[SỐ LƯỢNG ]]*Table1[[#This Row],[ĐƠN GIÁ /1 KG]]</f>
        <v>722222.24</v>
      </c>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31">
        <f>Table1[[#This Row],[QUY ĐỔI GRAM]]-SUM(Table1[[#This Row],[XK ĐỒNG TÂM]:[XK LSX 8]])</f>
        <v>4000</v>
      </c>
      <c r="AP77" s="31">
        <f>Table1[[#This Row],[CÒN LẠI (gram)]]*Table1[[#This Row],[ĐƠN GIÁ /1 KG]]/1000</f>
        <v>722222.24</v>
      </c>
      <c r="AQ77" s="3" t="s">
        <v>39</v>
      </c>
      <c r="AR77" s="3" t="s">
        <v>103</v>
      </c>
      <c r="AS77" s="20">
        <v>2502009</v>
      </c>
      <c r="AT77" s="7">
        <v>45779</v>
      </c>
      <c r="AU77" s="7">
        <v>46789</v>
      </c>
    </row>
    <row r="78" spans="1:47" s="4" customFormat="1" ht="24" customHeight="1" x14ac:dyDescent="0.35">
      <c r="A78" s="5">
        <v>75</v>
      </c>
      <c r="B78" s="13" t="s">
        <v>69</v>
      </c>
      <c r="C78" s="3"/>
      <c r="D78" s="8" t="s">
        <v>70</v>
      </c>
      <c r="E78" s="15" t="s">
        <v>17</v>
      </c>
      <c r="F78" s="23">
        <v>20</v>
      </c>
      <c r="G78" s="7">
        <v>45985</v>
      </c>
      <c r="H78" s="26">
        <v>12118</v>
      </c>
      <c r="I78" s="16">
        <f>Table1[[#This Row],[SỐ LƯỢNG ]]*1000</f>
        <v>20000</v>
      </c>
      <c r="J78" s="24">
        <v>333333.34000000003</v>
      </c>
      <c r="K78" s="16">
        <f>Table1[[#This Row],[SỐ LƯỢNG ]]*Table1[[#This Row],[ĐƠN GIÁ /1 KG]]</f>
        <v>6666666.8000000007</v>
      </c>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31">
        <f>Table1[[#This Row],[QUY ĐỔI GRAM]]-SUM(Table1[[#This Row],[XK ĐỒNG TÂM]:[XK LSX 8]])</f>
        <v>20000</v>
      </c>
      <c r="AP78" s="31">
        <f>Table1[[#This Row],[CÒN LẠI (gram)]]*Table1[[#This Row],[ĐƠN GIÁ /1 KG]]/1000</f>
        <v>6666666.8000000007</v>
      </c>
      <c r="AQ78" s="3" t="s">
        <v>39</v>
      </c>
      <c r="AR78" s="3" t="s">
        <v>103</v>
      </c>
      <c r="AS78" s="20" t="s">
        <v>167</v>
      </c>
      <c r="AT78" s="7">
        <v>45782</v>
      </c>
      <c r="AU78" s="7">
        <v>46538</v>
      </c>
    </row>
    <row r="79" spans="1:47" s="4" customFormat="1" ht="24" customHeight="1" x14ac:dyDescent="0.35">
      <c r="A79" s="5">
        <v>76</v>
      </c>
      <c r="B79" s="13" t="s">
        <v>160</v>
      </c>
      <c r="C79" s="3"/>
      <c r="D79" s="8" t="s">
        <v>190</v>
      </c>
      <c r="E79" s="15" t="s">
        <v>17</v>
      </c>
      <c r="F79" s="23">
        <v>90</v>
      </c>
      <c r="G79" s="7">
        <v>45985</v>
      </c>
      <c r="H79" s="26">
        <v>8164</v>
      </c>
      <c r="I79" s="16">
        <f>Table1[[#This Row],[SỐ LƯỢNG ]]*1000</f>
        <v>90000</v>
      </c>
      <c r="J79" s="16">
        <v>46296</v>
      </c>
      <c r="K79" s="16">
        <f>Table1[[#This Row],[SỐ LƯỢNG ]]*Table1[[#This Row],[ĐƠN GIÁ /1 KG]]</f>
        <v>4166640</v>
      </c>
      <c r="L79" s="16">
        <v>1800</v>
      </c>
      <c r="M79" s="16"/>
      <c r="N79" s="16"/>
      <c r="O79" s="16"/>
      <c r="P79" s="16"/>
      <c r="Q79" s="16"/>
      <c r="R79" s="16"/>
      <c r="S79" s="16"/>
      <c r="T79" s="16">
        <v>200</v>
      </c>
      <c r="U79" s="16"/>
      <c r="V79" s="16"/>
      <c r="W79" s="16"/>
      <c r="X79" s="16"/>
      <c r="Y79" s="16"/>
      <c r="Z79" s="16"/>
      <c r="AA79" s="16"/>
      <c r="AB79" s="16"/>
      <c r="AC79" s="16"/>
      <c r="AD79" s="16"/>
      <c r="AE79" s="16">
        <v>2026</v>
      </c>
      <c r="AF79" s="16">
        <v>21648</v>
      </c>
      <c r="AG79" s="16">
        <v>21936</v>
      </c>
      <c r="AH79" s="16">
        <v>40000</v>
      </c>
      <c r="AI79" s="16"/>
      <c r="AJ79" s="16"/>
      <c r="AK79" s="16"/>
      <c r="AL79" s="16"/>
      <c r="AM79" s="16"/>
      <c r="AN79" s="16"/>
      <c r="AO79" s="31">
        <f>Table1[[#This Row],[QUY ĐỔI GRAM]]-SUM(Table1[[#This Row],[XK ĐỒNG TÂM]:[XK LSX 8]])</f>
        <v>2390</v>
      </c>
      <c r="AP79" s="31">
        <f>Table1[[#This Row],[CÒN LẠI (gram)]]*Table1[[#This Row],[ĐƠN GIÁ /1 KG]]/1000</f>
        <v>110647.44</v>
      </c>
      <c r="AQ79" s="3" t="s">
        <v>161</v>
      </c>
      <c r="AR79" s="3"/>
      <c r="AS79" s="20"/>
      <c r="AT79" s="3"/>
      <c r="AU79" s="3"/>
    </row>
    <row r="80" spans="1:47" s="4" customFormat="1" ht="24" customHeight="1" x14ac:dyDescent="0.35">
      <c r="A80" s="5">
        <v>77</v>
      </c>
      <c r="B80" s="13" t="s">
        <v>162</v>
      </c>
      <c r="C80" s="3" t="s">
        <v>187</v>
      </c>
      <c r="D80" s="8" t="s">
        <v>431</v>
      </c>
      <c r="E80" s="15" t="s">
        <v>17</v>
      </c>
      <c r="F80" s="23">
        <v>20</v>
      </c>
      <c r="G80" s="7">
        <v>45985</v>
      </c>
      <c r="H80" s="26">
        <v>8164</v>
      </c>
      <c r="I80" s="16">
        <f>Table1[[#This Row],[SỐ LƯỢNG ]]*1000</f>
        <v>20000</v>
      </c>
      <c r="J80" s="16">
        <v>50926</v>
      </c>
      <c r="K80" s="16">
        <f>Table1[[#This Row],[SỐ LƯỢNG ]]*Table1[[#This Row],[ĐƠN GIÁ /1 KG]]</f>
        <v>1018520</v>
      </c>
      <c r="L80" s="16"/>
      <c r="M80" s="16"/>
      <c r="N80" s="16"/>
      <c r="O80" s="16"/>
      <c r="P80" s="16"/>
      <c r="Q80" s="16"/>
      <c r="R80" s="16"/>
      <c r="S80" s="16">
        <v>3000</v>
      </c>
      <c r="T80" s="16"/>
      <c r="U80" s="16"/>
      <c r="V80" s="16"/>
      <c r="W80" s="16">
        <v>3009</v>
      </c>
      <c r="X80" s="16"/>
      <c r="Y80" s="16"/>
      <c r="Z80" s="16"/>
      <c r="AA80" s="16"/>
      <c r="AB80" s="16"/>
      <c r="AC80" s="16"/>
      <c r="AD80" s="16"/>
      <c r="AE80" s="16"/>
      <c r="AF80" s="16"/>
      <c r="AG80" s="16"/>
      <c r="AH80" s="16"/>
      <c r="AI80" s="16"/>
      <c r="AJ80" s="16"/>
      <c r="AK80" s="16"/>
      <c r="AL80" s="16"/>
      <c r="AM80" s="16"/>
      <c r="AN80" s="16"/>
      <c r="AO80" s="31">
        <f>Table1[[#This Row],[QUY ĐỔI GRAM]]-SUM(Table1[[#This Row],[XK ĐỒNG TÂM]:[XK LSX 8]])</f>
        <v>13991</v>
      </c>
      <c r="AP80" s="31">
        <f>Table1[[#This Row],[CÒN LẠI (gram)]]*Table1[[#This Row],[ĐƠN GIÁ /1 KG]]/1000</f>
        <v>712505.66599999997</v>
      </c>
      <c r="AQ80" s="3" t="s">
        <v>161</v>
      </c>
      <c r="AR80" s="3" t="s">
        <v>103</v>
      </c>
      <c r="AS80" s="20" t="s">
        <v>168</v>
      </c>
      <c r="AT80" s="26" t="s">
        <v>169</v>
      </c>
      <c r="AU80" s="26" t="s">
        <v>170</v>
      </c>
    </row>
    <row r="81" spans="1:47" s="4" customFormat="1" ht="24" customHeight="1" x14ac:dyDescent="0.35">
      <c r="A81" s="5">
        <v>78</v>
      </c>
      <c r="B81" s="13" t="s">
        <v>49</v>
      </c>
      <c r="C81" s="3"/>
      <c r="D81" s="8" t="s">
        <v>50</v>
      </c>
      <c r="E81" s="15" t="s">
        <v>17</v>
      </c>
      <c r="F81" s="23">
        <v>6</v>
      </c>
      <c r="G81" s="7">
        <v>45985</v>
      </c>
      <c r="H81" s="26">
        <v>2911</v>
      </c>
      <c r="I81" s="16">
        <f>Table1[[#This Row],[SỐ LƯỢNG ]]*1000</f>
        <v>6000</v>
      </c>
      <c r="J81" s="16">
        <v>10296390</v>
      </c>
      <c r="K81" s="16">
        <f>Table1[[#This Row],[SỐ LƯỢNG ]]*Table1[[#This Row],[ĐƠN GIÁ /1 KG]]</f>
        <v>61778340</v>
      </c>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31">
        <f>Table1[[#This Row],[QUY ĐỔI GRAM]]-SUM(Table1[[#This Row],[XK ĐỒNG TÂM]:[XK LSX 8]])</f>
        <v>6000</v>
      </c>
      <c r="AP81" s="31">
        <f>Table1[[#This Row],[CÒN LẠI (gram)]]*Table1[[#This Row],[ĐƠN GIÁ /1 KG]]/1000</f>
        <v>61778340</v>
      </c>
      <c r="AQ81" s="3" t="s">
        <v>28</v>
      </c>
      <c r="AR81" s="3"/>
      <c r="AS81" s="20"/>
      <c r="AT81" s="3"/>
      <c r="AU81" s="3"/>
    </row>
    <row r="82" spans="1:47" s="4" customFormat="1" ht="24" customHeight="1" x14ac:dyDescent="0.35">
      <c r="A82" s="5">
        <v>79</v>
      </c>
      <c r="B82" s="13" t="s">
        <v>71</v>
      </c>
      <c r="C82" s="3"/>
      <c r="D82" s="8" t="s">
        <v>180</v>
      </c>
      <c r="E82" s="15" t="s">
        <v>17</v>
      </c>
      <c r="F82" s="23">
        <v>60</v>
      </c>
      <c r="G82" s="7">
        <v>45988</v>
      </c>
      <c r="H82" s="26">
        <v>22299</v>
      </c>
      <c r="I82" s="16">
        <f>Table1[[#This Row],[SỐ LƯỢNG ]]*1000</f>
        <v>60000</v>
      </c>
      <c r="J82" s="16">
        <v>46296.3</v>
      </c>
      <c r="K82" s="16">
        <f>Table1[[#This Row],[SỐ LƯỢNG ]]*Table1[[#This Row],[ĐƠN GIÁ /1 KG]]</f>
        <v>2777778</v>
      </c>
      <c r="L82" s="16"/>
      <c r="M82" s="16"/>
      <c r="N82" s="16"/>
      <c r="O82" s="16"/>
      <c r="P82" s="16"/>
      <c r="Q82" s="16"/>
      <c r="R82" s="16"/>
      <c r="S82" s="16">
        <v>7050</v>
      </c>
      <c r="T82" s="16">
        <v>200</v>
      </c>
      <c r="U82" s="16"/>
      <c r="V82" s="16">
        <v>6000</v>
      </c>
      <c r="W82" s="16">
        <v>20060</v>
      </c>
      <c r="X82" s="16"/>
      <c r="Y82" s="16"/>
      <c r="Z82" s="16">
        <v>13425</v>
      </c>
      <c r="AA82" s="16">
        <v>3135</v>
      </c>
      <c r="AB82" s="16">
        <v>5130</v>
      </c>
      <c r="AC82" s="16">
        <v>5000</v>
      </c>
      <c r="AD82" s="16"/>
      <c r="AE82" s="16"/>
      <c r="AF82" s="16"/>
      <c r="AG82" s="16"/>
      <c r="AH82" s="16"/>
      <c r="AI82" s="16"/>
      <c r="AJ82" s="16"/>
      <c r="AK82" s="16"/>
      <c r="AL82" s="16"/>
      <c r="AM82" s="16"/>
      <c r="AN82" s="16"/>
      <c r="AO82" s="31">
        <f>Table1[[#This Row],[QUY ĐỔI GRAM]]-SUM(Table1[[#This Row],[XK ĐỒNG TÂM]:[XK LSX 8]])</f>
        <v>0</v>
      </c>
      <c r="AP82" s="31">
        <f>Table1[[#This Row],[CÒN LẠI (gram)]]*Table1[[#This Row],[ĐƠN GIÁ /1 KG]]/1000</f>
        <v>0</v>
      </c>
      <c r="AQ82" s="3" t="s">
        <v>39</v>
      </c>
      <c r="AR82" s="3"/>
      <c r="AS82" s="20"/>
      <c r="AT82" s="3"/>
      <c r="AU82" s="3"/>
    </row>
    <row r="83" spans="1:47" s="4" customFormat="1" ht="24" customHeight="1" x14ac:dyDescent="0.35">
      <c r="A83" s="5">
        <v>80</v>
      </c>
      <c r="B83" s="3" t="s">
        <v>182</v>
      </c>
      <c r="C83" s="3"/>
      <c r="D83" s="8"/>
      <c r="E83" s="15" t="s">
        <v>183</v>
      </c>
      <c r="F83" s="23">
        <v>2000</v>
      </c>
      <c r="G83" s="7">
        <v>45989</v>
      </c>
      <c r="H83" s="26">
        <v>162</v>
      </c>
      <c r="I83" s="16"/>
      <c r="J83" s="16">
        <v>2950</v>
      </c>
      <c r="K83" s="16">
        <f>Table1[[#This Row],[SỐ LƯỢNG ]]*Table1[[#This Row],[ĐƠN GIÁ /1 KG]]</f>
        <v>5900000</v>
      </c>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51">
        <f>Table1[[#This Row],[SỐ LƯỢNG ]]-SUM(Table1[[#This Row],[XK ĐỒNG TÂM]:[XK LSX 8]])</f>
        <v>2000</v>
      </c>
      <c r="AP83" s="51">
        <f>Table1[[#This Row],[CÒN LẠI (gram)]]*Table1[[#This Row],[ĐƠN GIÁ /1 KG]]</f>
        <v>5900000</v>
      </c>
      <c r="AQ83" s="3" t="s">
        <v>184</v>
      </c>
      <c r="AR83" s="3"/>
      <c r="AS83" s="20"/>
      <c r="AT83" s="3"/>
      <c r="AU83" s="3"/>
    </row>
    <row r="84" spans="1:47" s="4" customFormat="1" ht="24" customHeight="1" x14ac:dyDescent="0.35">
      <c r="A84" s="5">
        <v>81</v>
      </c>
      <c r="B84" s="3" t="s">
        <v>40</v>
      </c>
      <c r="C84" s="3"/>
      <c r="D84" s="8"/>
      <c r="E84" s="15" t="s">
        <v>17</v>
      </c>
      <c r="F84" s="23">
        <v>50</v>
      </c>
      <c r="G84" s="7">
        <v>45995</v>
      </c>
      <c r="H84" s="26">
        <v>2254</v>
      </c>
      <c r="I84" s="16">
        <f>Table1[[#This Row],[SỐ LƯỢNG ]]*1000</f>
        <v>50000</v>
      </c>
      <c r="J84" s="16">
        <v>55000</v>
      </c>
      <c r="K84" s="16">
        <f>Table1[[#This Row],[SỐ LƯỢNG ]]*Table1[[#This Row],[ĐƠN GIÁ /1 KG]]</f>
        <v>2750000</v>
      </c>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31">
        <f>Table1[[#This Row],[QUY ĐỔI GRAM]]-SUM(Table1[[#This Row],[XK ĐỒNG TÂM]:[XK LSX 8]])</f>
        <v>50000</v>
      </c>
      <c r="AP84" s="31">
        <f>Table1[[#This Row],[CÒN LẠI (gram)]]*Table1[[#This Row],[ĐƠN GIÁ /1 KG]]/1000</f>
        <v>2750000</v>
      </c>
      <c r="AQ84" s="3" t="s">
        <v>48</v>
      </c>
      <c r="AR84" s="3"/>
      <c r="AS84" s="20"/>
      <c r="AT84" s="3"/>
      <c r="AU84" s="3"/>
    </row>
    <row r="85" spans="1:47" s="4" customFormat="1" ht="24" customHeight="1" x14ac:dyDescent="0.35">
      <c r="A85" s="5">
        <v>82</v>
      </c>
      <c r="B85" s="3" t="s">
        <v>440</v>
      </c>
      <c r="C85" s="3"/>
      <c r="D85" s="8"/>
      <c r="E85" s="15" t="s">
        <v>24</v>
      </c>
      <c r="F85" s="23">
        <v>2000</v>
      </c>
      <c r="G85" s="7">
        <v>45993</v>
      </c>
      <c r="H85" s="26">
        <v>14318</v>
      </c>
      <c r="I85" s="16"/>
      <c r="J85" s="16">
        <v>165</v>
      </c>
      <c r="K85" s="16">
        <f>Table1[[#This Row],[SỐ LƯỢNG ]]*Table1[[#This Row],[ĐƠN GIÁ /1 KG]]</f>
        <v>330000</v>
      </c>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51">
        <f>Table1[[#This Row],[SỐ LƯỢNG ]]-SUM(Table1[[#This Row],[XK ĐỒNG TÂM]:[XK LSX 8]])</f>
        <v>2000</v>
      </c>
      <c r="AP85" s="51">
        <f>Table1[[#This Row],[CÒN LẠI (gram)]]*Table1[[#This Row],[ĐƠN GIÁ /1 KG]]</f>
        <v>330000</v>
      </c>
      <c r="AQ85" s="3" t="s">
        <v>33</v>
      </c>
      <c r="AR85" s="3"/>
      <c r="AS85" s="20"/>
      <c r="AT85" s="3"/>
      <c r="AU85" s="3"/>
    </row>
    <row r="86" spans="1:47" s="4" customFormat="1" ht="24" customHeight="1" x14ac:dyDescent="0.35">
      <c r="A86" s="5">
        <v>83</v>
      </c>
      <c r="B86" s="13" t="s">
        <v>185</v>
      </c>
      <c r="C86" s="29" t="s">
        <v>187</v>
      </c>
      <c r="D86" s="28" t="s">
        <v>186</v>
      </c>
      <c r="E86" s="15" t="s">
        <v>140</v>
      </c>
      <c r="F86" s="23">
        <v>1</v>
      </c>
      <c r="G86" s="7">
        <v>45996</v>
      </c>
      <c r="H86" s="26">
        <v>950</v>
      </c>
      <c r="I86" s="16">
        <f>Table1[[#This Row],[SỐ LƯỢNG ]]*1000</f>
        <v>1000</v>
      </c>
      <c r="J86" s="16">
        <v>1300000</v>
      </c>
      <c r="K86" s="16">
        <f>Table1[[#This Row],[SỐ LƯỢNG ]]*Table1[[#This Row],[ĐƠN GIÁ /1 KG]]</f>
        <v>1300000</v>
      </c>
      <c r="L86" s="16">
        <v>90</v>
      </c>
      <c r="M86" s="16"/>
      <c r="N86" s="16"/>
      <c r="O86" s="16"/>
      <c r="P86" s="16"/>
      <c r="Q86" s="16"/>
      <c r="R86" s="16"/>
      <c r="S86" s="16"/>
      <c r="T86" s="16"/>
      <c r="U86" s="16"/>
      <c r="V86" s="16"/>
      <c r="W86" s="16"/>
      <c r="X86" s="16"/>
      <c r="Y86" s="16"/>
      <c r="Z86" s="16"/>
      <c r="AA86" s="16"/>
      <c r="AB86" s="16"/>
      <c r="AC86" s="16"/>
      <c r="AD86" s="16">
        <v>450</v>
      </c>
      <c r="AE86" s="16"/>
      <c r="AF86" s="16"/>
      <c r="AG86" s="16"/>
      <c r="AH86" s="16"/>
      <c r="AI86" s="16"/>
      <c r="AJ86" s="16"/>
      <c r="AK86" s="16"/>
      <c r="AL86" s="16"/>
      <c r="AM86" s="16"/>
      <c r="AN86" s="16"/>
      <c r="AO86" s="31">
        <f>Table1[[#This Row],[QUY ĐỔI GRAM]]-SUM(Table1[[#This Row],[XK ĐỒNG TÂM]:[XK LSX 8]])</f>
        <v>460</v>
      </c>
      <c r="AP86" s="31">
        <f>Table1[[#This Row],[CÒN LẠI (gram)]]*Table1[[#This Row],[ĐƠN GIÁ /1 KG]]/1000</f>
        <v>598000</v>
      </c>
      <c r="AQ86" s="3" t="s">
        <v>151</v>
      </c>
      <c r="AR86" s="3"/>
      <c r="AS86" s="20"/>
      <c r="AT86" s="3"/>
      <c r="AU86" s="3"/>
    </row>
    <row r="87" spans="1:47" s="4" customFormat="1" ht="24" customHeight="1" x14ac:dyDescent="0.35">
      <c r="A87" s="5">
        <v>84</v>
      </c>
      <c r="B87" s="13" t="s">
        <v>188</v>
      </c>
      <c r="C87" s="3"/>
      <c r="D87" s="8" t="s">
        <v>191</v>
      </c>
      <c r="E87" s="15" t="s">
        <v>17</v>
      </c>
      <c r="F87" s="23">
        <v>2</v>
      </c>
      <c r="G87" s="7">
        <v>45999</v>
      </c>
      <c r="H87" s="26">
        <v>12751</v>
      </c>
      <c r="I87" s="16">
        <f>Table1[[#This Row],[SỐ LƯỢNG ]]*1000</f>
        <v>2000</v>
      </c>
      <c r="J87" s="16">
        <v>165000</v>
      </c>
      <c r="K87" s="16">
        <f>Table1[[#This Row],[SỐ LƯỢNG ]]*Table1[[#This Row],[ĐƠN GIÁ /1 KG]]</f>
        <v>330000</v>
      </c>
      <c r="L87" s="16">
        <v>300</v>
      </c>
      <c r="M87" s="16"/>
      <c r="N87" s="16"/>
      <c r="O87" s="16"/>
      <c r="P87" s="16"/>
      <c r="Q87" s="16"/>
      <c r="R87" s="16"/>
      <c r="S87" s="16"/>
      <c r="T87" s="16"/>
      <c r="U87" s="16"/>
      <c r="V87" s="16"/>
      <c r="W87" s="16"/>
      <c r="X87" s="16"/>
      <c r="Y87" s="16"/>
      <c r="Z87" s="16"/>
      <c r="AA87" s="16"/>
      <c r="AB87" s="16"/>
      <c r="AC87" s="16"/>
      <c r="AD87" s="16">
        <v>75</v>
      </c>
      <c r="AE87" s="16"/>
      <c r="AF87" s="16"/>
      <c r="AG87" s="16"/>
      <c r="AH87" s="16"/>
      <c r="AI87" s="16"/>
      <c r="AJ87" s="16"/>
      <c r="AK87" s="16"/>
      <c r="AL87" s="16"/>
      <c r="AM87" s="16"/>
      <c r="AN87" s="16"/>
      <c r="AO87" s="31">
        <f>Table1[[#This Row],[QUY ĐỔI GRAM]]-SUM(Table1[[#This Row],[XK ĐỒNG TÂM]:[XK LSX 8]])</f>
        <v>1625</v>
      </c>
      <c r="AP87" s="31">
        <f>Table1[[#This Row],[CÒN LẠI (gram)]]*Table1[[#This Row],[ĐƠN GIÁ /1 KG]]/1000</f>
        <v>268125</v>
      </c>
      <c r="AQ87" s="3" t="s">
        <v>39</v>
      </c>
      <c r="AR87" s="3"/>
      <c r="AS87" s="20"/>
      <c r="AT87" s="3"/>
      <c r="AU87" s="3"/>
    </row>
    <row r="88" spans="1:47" s="4" customFormat="1" ht="28" x14ac:dyDescent="0.35">
      <c r="A88" s="5">
        <v>85</v>
      </c>
      <c r="B88" s="13" t="s">
        <v>192</v>
      </c>
      <c r="C88" s="3"/>
      <c r="D88" s="8" t="s">
        <v>193</v>
      </c>
      <c r="E88" s="15" t="s">
        <v>17</v>
      </c>
      <c r="F88" s="23">
        <v>1</v>
      </c>
      <c r="G88" s="7">
        <v>45999</v>
      </c>
      <c r="H88" s="26">
        <v>12751</v>
      </c>
      <c r="I88" s="16">
        <f>Table1[[#This Row],[SỐ LƯỢNG ]]*1000</f>
        <v>1000</v>
      </c>
      <c r="J88" s="16">
        <v>1210000</v>
      </c>
      <c r="K88" s="16">
        <f>Table1[[#This Row],[SỐ LƯỢNG ]]*Table1[[#This Row],[ĐƠN GIÁ /1 KG]]</f>
        <v>1210000</v>
      </c>
      <c r="L88" s="16">
        <v>300</v>
      </c>
      <c r="M88" s="16"/>
      <c r="N88" s="16"/>
      <c r="O88" s="16"/>
      <c r="P88" s="16"/>
      <c r="Q88" s="16"/>
      <c r="R88" s="16"/>
      <c r="S88" s="16"/>
      <c r="T88" s="16"/>
      <c r="U88" s="16"/>
      <c r="V88" s="16"/>
      <c r="W88" s="16"/>
      <c r="X88" s="16">
        <v>30</v>
      </c>
      <c r="Y88" s="16"/>
      <c r="Z88" s="16">
        <v>90</v>
      </c>
      <c r="AA88" s="16"/>
      <c r="AB88" s="16"/>
      <c r="AC88" s="16"/>
      <c r="AD88" s="16"/>
      <c r="AE88" s="16"/>
      <c r="AF88" s="16"/>
      <c r="AG88" s="16"/>
      <c r="AH88" s="16"/>
      <c r="AI88" s="16"/>
      <c r="AJ88" s="16"/>
      <c r="AK88" s="16"/>
      <c r="AL88" s="16"/>
      <c r="AM88" s="16"/>
      <c r="AN88" s="16"/>
      <c r="AO88" s="31">
        <f>Table1[[#This Row],[QUY ĐỔI GRAM]]-SUM(Table1[[#This Row],[XK ĐỒNG TÂM]:[XK LSX 8]])</f>
        <v>580</v>
      </c>
      <c r="AP88" s="31">
        <f>Table1[[#This Row],[CÒN LẠI (gram)]]*Table1[[#This Row],[ĐƠN GIÁ /1 KG]]/1000</f>
        <v>701800</v>
      </c>
      <c r="AQ88" s="3" t="s">
        <v>39</v>
      </c>
      <c r="AR88" s="3"/>
      <c r="AS88" s="20"/>
      <c r="AT88" s="3"/>
      <c r="AU88" s="3"/>
    </row>
    <row r="89" spans="1:47" s="4" customFormat="1" ht="24" customHeight="1" x14ac:dyDescent="0.35">
      <c r="A89" s="5">
        <v>86</v>
      </c>
      <c r="B89" s="13" t="s">
        <v>204</v>
      </c>
      <c r="C89" s="3"/>
      <c r="D89" s="8" t="s">
        <v>258</v>
      </c>
      <c r="E89" s="15" t="s">
        <v>17</v>
      </c>
      <c r="F89" s="23">
        <v>0.5</v>
      </c>
      <c r="G89" s="7">
        <v>45997</v>
      </c>
      <c r="H89" s="26">
        <v>36</v>
      </c>
      <c r="I89" s="16">
        <f>Table1[[#This Row],[SỐ LƯỢNG ]]*1000</f>
        <v>500</v>
      </c>
      <c r="J89" s="16">
        <v>90000</v>
      </c>
      <c r="K89" s="16">
        <f>Table1[[#This Row],[SỐ LƯỢNG ]]*Table1[[#This Row],[ĐƠN GIÁ /1 KG]]</f>
        <v>45000</v>
      </c>
      <c r="L89" s="16">
        <v>150</v>
      </c>
      <c r="M89" s="16"/>
      <c r="N89" s="16"/>
      <c r="O89" s="16"/>
      <c r="P89" s="16"/>
      <c r="Q89" s="16"/>
      <c r="R89" s="16"/>
      <c r="S89" s="16"/>
      <c r="T89" s="16">
        <v>200</v>
      </c>
      <c r="U89" s="16"/>
      <c r="V89" s="16">
        <v>150</v>
      </c>
      <c r="W89" s="16"/>
      <c r="X89" s="16"/>
      <c r="Y89" s="16"/>
      <c r="Z89" s="16"/>
      <c r="AA89" s="16"/>
      <c r="AB89" s="16"/>
      <c r="AC89" s="16"/>
      <c r="AD89" s="16"/>
      <c r="AE89" s="16"/>
      <c r="AF89" s="16"/>
      <c r="AG89" s="16"/>
      <c r="AH89" s="16"/>
      <c r="AI89" s="16"/>
      <c r="AJ89" s="16"/>
      <c r="AK89" s="16"/>
      <c r="AL89" s="16"/>
      <c r="AM89" s="16"/>
      <c r="AN89" s="16"/>
      <c r="AO89" s="31">
        <f>Table1[[#This Row],[QUY ĐỔI GRAM]]-SUM(Table1[[#This Row],[XK ĐỒNG TÂM]:[XK LSX 8]])</f>
        <v>0</v>
      </c>
      <c r="AP89" s="31">
        <f>Table1[[#This Row],[CÒN LẠI (gram)]]*Table1[[#This Row],[ĐƠN GIÁ /1 KG]]/1000</f>
        <v>0</v>
      </c>
      <c r="AQ89" s="3" t="s">
        <v>205</v>
      </c>
      <c r="AR89" s="3"/>
      <c r="AS89" s="20"/>
      <c r="AT89" s="3"/>
      <c r="AU89" s="3"/>
    </row>
    <row r="90" spans="1:47" s="4" customFormat="1" ht="24" customHeight="1" x14ac:dyDescent="0.35">
      <c r="A90" s="5">
        <v>87</v>
      </c>
      <c r="B90" s="13" t="s">
        <v>137</v>
      </c>
      <c r="C90" s="3"/>
      <c r="D90" s="8" t="s">
        <v>165</v>
      </c>
      <c r="E90" s="15" t="s">
        <v>17</v>
      </c>
      <c r="F90" s="23">
        <v>6</v>
      </c>
      <c r="G90" s="7">
        <v>45997</v>
      </c>
      <c r="H90" s="26">
        <v>36</v>
      </c>
      <c r="I90" s="16">
        <f>Table1[[#This Row],[SỐ LƯỢNG ]]*1000</f>
        <v>6000</v>
      </c>
      <c r="J90" s="16">
        <v>450000</v>
      </c>
      <c r="K90" s="16">
        <f>Table1[[#This Row],[SỐ LƯỢNG ]]*Table1[[#This Row],[ĐƠN GIÁ /1 KG]]</f>
        <v>2700000</v>
      </c>
      <c r="L90" s="16">
        <v>6000</v>
      </c>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31">
        <f>Table1[[#This Row],[QUY ĐỔI GRAM]]-SUM(Table1[[#This Row],[XK ĐỒNG TÂM]:[XK LSX 8]])</f>
        <v>0</v>
      </c>
      <c r="AP90" s="31">
        <f>Table1[[#This Row],[CÒN LẠI (gram)]]*Table1[[#This Row],[ĐƠN GIÁ /1 KG]]/1000</f>
        <v>0</v>
      </c>
      <c r="AQ90" s="3" t="s">
        <v>205</v>
      </c>
      <c r="AR90" s="3"/>
      <c r="AS90" s="20"/>
      <c r="AT90" s="3"/>
      <c r="AU90" s="3"/>
    </row>
    <row r="91" spans="1:47" s="4" customFormat="1" ht="23.25" customHeight="1" x14ac:dyDescent="0.35">
      <c r="A91" s="5">
        <v>88</v>
      </c>
      <c r="B91" s="13" t="s">
        <v>209</v>
      </c>
      <c r="C91" s="3"/>
      <c r="D91" s="8" t="s">
        <v>417</v>
      </c>
      <c r="E91" s="15" t="s">
        <v>17</v>
      </c>
      <c r="F91" s="23">
        <v>3</v>
      </c>
      <c r="G91" s="7">
        <v>46005</v>
      </c>
      <c r="H91" s="26">
        <v>39</v>
      </c>
      <c r="I91" s="16">
        <f>Table1[[#This Row],[SỐ LƯỢNG ]]*1000</f>
        <v>3000</v>
      </c>
      <c r="J91" s="16">
        <v>224200</v>
      </c>
      <c r="K91" s="16">
        <f>Table1[[#This Row],[SỐ LƯỢNG ]]*Table1[[#This Row],[ĐƠN GIÁ /1 KG]]</f>
        <v>672600</v>
      </c>
      <c r="L91" s="16">
        <v>3000</v>
      </c>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31">
        <f>Table1[[#This Row],[QUY ĐỔI GRAM]]-SUM(Table1[[#This Row],[XK ĐỒNG TÂM]:[XK LSX 8]])</f>
        <v>0</v>
      </c>
      <c r="AP91" s="31">
        <f>Table1[[#This Row],[CÒN LẠI (gram)]]*Table1[[#This Row],[ĐƠN GIÁ /1 KG]]/1000</f>
        <v>0</v>
      </c>
      <c r="AQ91" s="3" t="s">
        <v>210</v>
      </c>
      <c r="AR91" s="3"/>
      <c r="AS91" s="20"/>
      <c r="AT91" s="3"/>
      <c r="AU91" s="3"/>
    </row>
    <row r="92" spans="1:47" s="4" customFormat="1" ht="24" customHeight="1" x14ac:dyDescent="0.35">
      <c r="A92" s="5">
        <v>89</v>
      </c>
      <c r="B92" s="13" t="s">
        <v>37</v>
      </c>
      <c r="C92" s="3"/>
      <c r="D92" s="27" t="s">
        <v>412</v>
      </c>
      <c r="E92" s="15" t="s">
        <v>17</v>
      </c>
      <c r="F92" s="23">
        <v>0.5</v>
      </c>
      <c r="G92" s="7">
        <v>46005</v>
      </c>
      <c r="H92" s="26">
        <v>39</v>
      </c>
      <c r="I92" s="16">
        <f>Table1[[#This Row],[SỐ LƯỢNG ]]*1000</f>
        <v>500</v>
      </c>
      <c r="J92" s="16">
        <v>2222222</v>
      </c>
      <c r="K92" s="16">
        <f>Table1[[#This Row],[SỐ LƯỢNG ]]*Table1[[#This Row],[ĐƠN GIÁ /1 KG]]</f>
        <v>1111111</v>
      </c>
      <c r="L92" s="16">
        <v>500</v>
      </c>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31">
        <f>Table1[[#This Row],[QUY ĐỔI GRAM]]-SUM(Table1[[#This Row],[XK ĐỒNG TÂM]:[XK LSX 8]])</f>
        <v>0</v>
      </c>
      <c r="AP92" s="31">
        <f>Table1[[#This Row],[CÒN LẠI (gram)]]*Table1[[#This Row],[ĐƠN GIÁ /1 KG]]/1000</f>
        <v>0</v>
      </c>
      <c r="AQ92" s="3" t="s">
        <v>210</v>
      </c>
      <c r="AR92" s="3"/>
      <c r="AS92" s="20"/>
      <c r="AT92" s="3"/>
      <c r="AU92" s="3"/>
    </row>
    <row r="93" spans="1:47" s="4" customFormat="1" ht="24" customHeight="1" x14ac:dyDescent="0.35">
      <c r="A93" s="5">
        <v>90</v>
      </c>
      <c r="B93" s="13" t="s">
        <v>211</v>
      </c>
      <c r="C93" s="3"/>
      <c r="D93" s="8" t="s">
        <v>418</v>
      </c>
      <c r="E93" s="15" t="s">
        <v>17</v>
      </c>
      <c r="F93" s="23">
        <v>0.2</v>
      </c>
      <c r="G93" s="7">
        <v>46005</v>
      </c>
      <c r="H93" s="26">
        <v>39</v>
      </c>
      <c r="I93" s="16">
        <f>Table1[[#This Row],[SỐ LƯỢNG ]]*1000</f>
        <v>200</v>
      </c>
      <c r="J93" s="16">
        <v>90000</v>
      </c>
      <c r="K93" s="16">
        <f>Table1[[#This Row],[SỐ LƯỢNG ]]*Table1[[#This Row],[ĐƠN GIÁ /1 KG]]</f>
        <v>18000</v>
      </c>
      <c r="L93" s="16">
        <v>150</v>
      </c>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31">
        <f>Table1[[#This Row],[QUY ĐỔI GRAM]]-SUM(Table1[[#This Row],[XK ĐỒNG TÂM]:[XK LSX 8]])</f>
        <v>50</v>
      </c>
      <c r="AP93" s="31">
        <f>Table1[[#This Row],[CÒN LẠI (gram)]]*Table1[[#This Row],[ĐƠN GIÁ /1 KG]]/1000</f>
        <v>4500</v>
      </c>
      <c r="AQ93" s="3" t="s">
        <v>210</v>
      </c>
      <c r="AR93" s="3"/>
      <c r="AS93" s="20"/>
      <c r="AT93" s="3"/>
      <c r="AU93" s="3"/>
    </row>
    <row r="94" spans="1:47" s="4" customFormat="1" ht="24" customHeight="1" x14ac:dyDescent="0.35">
      <c r="A94" s="5">
        <v>91</v>
      </c>
      <c r="B94" s="13" t="s">
        <v>212</v>
      </c>
      <c r="C94" s="3"/>
      <c r="D94" s="8" t="s">
        <v>388</v>
      </c>
      <c r="E94" s="15" t="s">
        <v>17</v>
      </c>
      <c r="F94" s="23">
        <v>0.5</v>
      </c>
      <c r="G94" s="7">
        <v>46005</v>
      </c>
      <c r="H94" s="26">
        <v>39</v>
      </c>
      <c r="I94" s="16">
        <f>Table1[[#This Row],[SỐ LƯỢNG ]]*1000</f>
        <v>500</v>
      </c>
      <c r="J94" s="16">
        <v>2800000</v>
      </c>
      <c r="K94" s="16">
        <f>Table1[[#This Row],[SỐ LƯỢNG ]]*Table1[[#This Row],[ĐƠN GIÁ /1 KG]]</f>
        <v>1400000</v>
      </c>
      <c r="L94" s="16">
        <v>300</v>
      </c>
      <c r="M94" s="16"/>
      <c r="N94" s="16"/>
      <c r="O94" s="16"/>
      <c r="P94" s="16"/>
      <c r="Q94" s="16"/>
      <c r="R94" s="16"/>
      <c r="S94" s="16"/>
      <c r="T94" s="16"/>
      <c r="U94" s="16"/>
      <c r="V94" s="16"/>
      <c r="W94" s="16"/>
      <c r="X94" s="16"/>
      <c r="Y94" s="16"/>
      <c r="Z94" s="16">
        <v>180</v>
      </c>
      <c r="AA94" s="16"/>
      <c r="AB94" s="16"/>
      <c r="AC94" s="16"/>
      <c r="AD94" s="16"/>
      <c r="AE94" s="16"/>
      <c r="AF94" s="16"/>
      <c r="AG94" s="16"/>
      <c r="AH94" s="16"/>
      <c r="AI94" s="16"/>
      <c r="AJ94" s="16"/>
      <c r="AK94" s="16"/>
      <c r="AL94" s="16"/>
      <c r="AM94" s="16"/>
      <c r="AN94" s="16"/>
      <c r="AO94" s="31">
        <f>Table1[[#This Row],[QUY ĐỔI GRAM]]-SUM(Table1[[#This Row],[XK ĐỒNG TÂM]:[XK LSX 8]])</f>
        <v>20</v>
      </c>
      <c r="AP94" s="31">
        <f>Table1[[#This Row],[CÒN LẠI (gram)]]*Table1[[#This Row],[ĐƠN GIÁ /1 KG]]/1000</f>
        <v>56000</v>
      </c>
      <c r="AQ94" s="3" t="s">
        <v>210</v>
      </c>
      <c r="AR94" s="3"/>
      <c r="AS94" s="20"/>
      <c r="AT94" s="3"/>
      <c r="AU94" s="3"/>
    </row>
    <row r="95" spans="1:47" s="4" customFormat="1" ht="24" customHeight="1" x14ac:dyDescent="0.35">
      <c r="A95" s="5">
        <v>92</v>
      </c>
      <c r="B95" s="13" t="s">
        <v>213</v>
      </c>
      <c r="C95" s="3"/>
      <c r="D95" s="8" t="s">
        <v>419</v>
      </c>
      <c r="E95" s="15" t="s">
        <v>17</v>
      </c>
      <c r="F95" s="23">
        <v>1</v>
      </c>
      <c r="G95" s="7">
        <v>46005</v>
      </c>
      <c r="H95" s="26">
        <v>39</v>
      </c>
      <c r="I95" s="16">
        <f>Table1[[#This Row],[SỐ LƯỢNG ]]*1000</f>
        <v>1000</v>
      </c>
      <c r="J95" s="16">
        <v>520000</v>
      </c>
      <c r="K95" s="16">
        <f>Table1[[#This Row],[SỐ LƯỢNG ]]*Table1[[#This Row],[ĐƠN GIÁ /1 KG]]</f>
        <v>520000</v>
      </c>
      <c r="L95" s="16">
        <v>600</v>
      </c>
      <c r="M95" s="16"/>
      <c r="N95" s="16"/>
      <c r="O95" s="16"/>
      <c r="P95" s="16"/>
      <c r="Q95" s="16"/>
      <c r="R95" s="16"/>
      <c r="S95" s="16"/>
      <c r="T95" s="16"/>
      <c r="U95" s="16"/>
      <c r="V95" s="16"/>
      <c r="W95" s="16"/>
      <c r="X95" s="16"/>
      <c r="Y95" s="16"/>
      <c r="Z95" s="16"/>
      <c r="AA95" s="16">
        <v>400</v>
      </c>
      <c r="AB95" s="16"/>
      <c r="AC95" s="16"/>
      <c r="AD95" s="16"/>
      <c r="AE95" s="16"/>
      <c r="AF95" s="16"/>
      <c r="AG95" s="16"/>
      <c r="AH95" s="16"/>
      <c r="AI95" s="16"/>
      <c r="AJ95" s="16"/>
      <c r="AK95" s="16"/>
      <c r="AL95" s="16"/>
      <c r="AM95" s="16"/>
      <c r="AN95" s="16"/>
      <c r="AO95" s="31">
        <f>Table1[[#This Row],[QUY ĐỔI GRAM]]-SUM(Table1[[#This Row],[XK ĐỒNG TÂM]:[XK LSX 8]])</f>
        <v>0</v>
      </c>
      <c r="AP95" s="31">
        <f>Table1[[#This Row],[CÒN LẠI (gram)]]*Table1[[#This Row],[ĐƠN GIÁ /1 KG]]/1000</f>
        <v>0</v>
      </c>
      <c r="AQ95" s="3" t="s">
        <v>210</v>
      </c>
      <c r="AR95" s="3"/>
      <c r="AS95" s="20"/>
      <c r="AT95" s="3"/>
      <c r="AU95" s="3"/>
    </row>
    <row r="96" spans="1:47" s="4" customFormat="1" ht="24" customHeight="1" x14ac:dyDescent="0.35">
      <c r="A96" s="5">
        <v>93</v>
      </c>
      <c r="B96" s="13" t="s">
        <v>214</v>
      </c>
      <c r="C96" s="3"/>
      <c r="D96" s="8" t="s">
        <v>420</v>
      </c>
      <c r="E96" s="15" t="s">
        <v>17</v>
      </c>
      <c r="F96" s="23">
        <v>0.1</v>
      </c>
      <c r="G96" s="7">
        <v>46007</v>
      </c>
      <c r="H96" s="26">
        <v>789</v>
      </c>
      <c r="I96" s="16">
        <f>Table1[[#This Row],[SỐ LƯỢNG ]]*1000</f>
        <v>100</v>
      </c>
      <c r="J96" s="16">
        <v>2630000</v>
      </c>
      <c r="K96" s="16">
        <f>Table1[[#This Row],[SỐ LƯỢNG ]]*Table1[[#This Row],[ĐƠN GIÁ /1 KG]]</f>
        <v>263000</v>
      </c>
      <c r="L96" s="16"/>
      <c r="M96" s="24">
        <v>15.750000000000002</v>
      </c>
      <c r="N96" s="24">
        <v>15.750000000000002</v>
      </c>
      <c r="O96" s="24">
        <v>15.750000000000002</v>
      </c>
      <c r="P96" s="24">
        <v>15.750000000000002</v>
      </c>
      <c r="Q96" s="24">
        <v>15.750000000000002</v>
      </c>
      <c r="R96" s="24">
        <v>15.750000000000002</v>
      </c>
      <c r="S96" s="16"/>
      <c r="T96" s="16"/>
      <c r="U96" s="16"/>
      <c r="V96" s="16"/>
      <c r="W96" s="16"/>
      <c r="X96" s="16"/>
      <c r="Y96" s="16"/>
      <c r="Z96" s="16"/>
      <c r="AA96" s="16"/>
      <c r="AB96" s="16"/>
      <c r="AC96" s="16"/>
      <c r="AD96" s="16"/>
      <c r="AE96" s="16"/>
      <c r="AF96" s="16"/>
      <c r="AG96" s="16"/>
      <c r="AH96" s="16"/>
      <c r="AI96" s="16"/>
      <c r="AJ96" s="16"/>
      <c r="AK96" s="16"/>
      <c r="AL96" s="16"/>
      <c r="AM96" s="16"/>
      <c r="AN96" s="16"/>
      <c r="AO96" s="31">
        <f>Table1[[#This Row],[QUY ĐỔI GRAM]]-SUM(Table1[[#This Row],[XK ĐỒNG TÂM]:[XK LSX 8]])</f>
        <v>5.4999999999999858</v>
      </c>
      <c r="AP96" s="31">
        <f>Table1[[#This Row],[CÒN LẠI (gram)]]*Table1[[#This Row],[ĐƠN GIÁ /1 KG]]/1000</f>
        <v>14464.999999999964</v>
      </c>
      <c r="AQ96" s="3" t="s">
        <v>215</v>
      </c>
      <c r="AR96" s="3"/>
      <c r="AS96" s="20"/>
      <c r="AT96" s="3"/>
      <c r="AU96" s="3"/>
    </row>
    <row r="97" spans="1:47" s="4" customFormat="1" ht="24" customHeight="1" x14ac:dyDescent="0.35">
      <c r="A97" s="5">
        <v>94</v>
      </c>
      <c r="B97" s="13" t="s">
        <v>216</v>
      </c>
      <c r="C97" s="3"/>
      <c r="D97" s="8" t="s">
        <v>421</v>
      </c>
      <c r="E97" s="15" t="s">
        <v>17</v>
      </c>
      <c r="F97" s="23">
        <v>2</v>
      </c>
      <c r="G97" s="7">
        <v>46007</v>
      </c>
      <c r="H97" s="26">
        <v>13166</v>
      </c>
      <c r="I97" s="16">
        <f>Table1[[#This Row],[SỐ LƯỢNG ]]*1000</f>
        <v>2000</v>
      </c>
      <c r="J97" s="16">
        <v>1480000</v>
      </c>
      <c r="K97" s="16">
        <f>Table1[[#This Row],[SỐ LƯỢNG ]]*Table1[[#This Row],[ĐƠN GIÁ /1 KG]]</f>
        <v>2960000</v>
      </c>
      <c r="L97" s="16"/>
      <c r="M97" s="24">
        <v>281.25</v>
      </c>
      <c r="N97" s="24">
        <v>281.25</v>
      </c>
      <c r="O97" s="24">
        <v>281.25</v>
      </c>
      <c r="P97" s="24">
        <v>281.25</v>
      </c>
      <c r="Q97" s="24">
        <v>281.25</v>
      </c>
      <c r="R97" s="24">
        <v>281.25</v>
      </c>
      <c r="S97" s="16"/>
      <c r="T97" s="16"/>
      <c r="U97" s="16"/>
      <c r="V97" s="16"/>
      <c r="W97" s="16"/>
      <c r="X97" s="16"/>
      <c r="Y97" s="16"/>
      <c r="Z97" s="16"/>
      <c r="AA97" s="16"/>
      <c r="AB97" s="16"/>
      <c r="AC97" s="16"/>
      <c r="AD97" s="16"/>
      <c r="AE97" s="16"/>
      <c r="AF97" s="16"/>
      <c r="AG97" s="16"/>
      <c r="AH97" s="16"/>
      <c r="AI97" s="16"/>
      <c r="AJ97" s="16"/>
      <c r="AK97" s="16"/>
      <c r="AL97" s="16"/>
      <c r="AM97" s="16"/>
      <c r="AN97" s="16"/>
      <c r="AO97" s="31">
        <f>Table1[[#This Row],[QUY ĐỔI GRAM]]-SUM(Table1[[#This Row],[XK ĐỒNG TÂM]:[XK LSX 8]])</f>
        <v>312.5</v>
      </c>
      <c r="AP97" s="31">
        <f>Table1[[#This Row],[CÒN LẠI (gram)]]*Table1[[#This Row],[ĐƠN GIÁ /1 KG]]/1000</f>
        <v>462500</v>
      </c>
      <c r="AQ97" s="3" t="s">
        <v>39</v>
      </c>
      <c r="AR97" s="3"/>
      <c r="AS97" s="20"/>
      <c r="AT97" s="3"/>
      <c r="AU97" s="3"/>
    </row>
    <row r="98" spans="1:47" s="4" customFormat="1" ht="24" customHeight="1" x14ac:dyDescent="0.35">
      <c r="A98" s="5">
        <v>95</v>
      </c>
      <c r="B98" s="13" t="s">
        <v>49</v>
      </c>
      <c r="C98" s="3"/>
      <c r="D98" s="8" t="s">
        <v>50</v>
      </c>
      <c r="E98" s="15" t="s">
        <v>17</v>
      </c>
      <c r="F98" s="23">
        <v>2</v>
      </c>
      <c r="G98" s="7">
        <v>46007</v>
      </c>
      <c r="H98" s="26">
        <v>3120</v>
      </c>
      <c r="I98" s="16">
        <f>Table1[[#This Row],[SỐ LƯỢNG ]]*1000</f>
        <v>2000</v>
      </c>
      <c r="J98" s="16">
        <v>10427210</v>
      </c>
      <c r="K98" s="16">
        <f>Table1[[#This Row],[SỐ LƯỢNG ]]*Table1[[#This Row],[ĐƠN GIÁ /1 KG]]</f>
        <v>20854420</v>
      </c>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31">
        <f>Table1[[#This Row],[QUY ĐỔI GRAM]]-SUM(Table1[[#This Row],[XK ĐỒNG TÂM]:[XK LSX 8]])</f>
        <v>2000</v>
      </c>
      <c r="AP98" s="31">
        <f>Table1[[#This Row],[CÒN LẠI (gram)]]*Table1[[#This Row],[ĐƠN GIÁ /1 KG]]/1000</f>
        <v>20854420</v>
      </c>
      <c r="AQ98" s="3" t="s">
        <v>28</v>
      </c>
      <c r="AR98" s="3"/>
      <c r="AS98" s="20"/>
      <c r="AT98" s="3"/>
      <c r="AU98" s="3"/>
    </row>
    <row r="99" spans="1:47" s="4" customFormat="1" ht="24" customHeight="1" x14ac:dyDescent="0.35">
      <c r="A99" s="5">
        <v>96</v>
      </c>
      <c r="B99" s="13" t="s">
        <v>217</v>
      </c>
      <c r="C99" s="3"/>
      <c r="D99" s="8" t="s">
        <v>93</v>
      </c>
      <c r="E99" s="15" t="s">
        <v>17</v>
      </c>
      <c r="F99" s="23">
        <v>1.5</v>
      </c>
      <c r="G99" s="7">
        <v>46008</v>
      </c>
      <c r="H99" s="26">
        <v>97</v>
      </c>
      <c r="I99" s="16">
        <f>Table1[[#This Row],[SỐ LƯỢNG ]]*1000</f>
        <v>1500</v>
      </c>
      <c r="J99" s="16">
        <v>33000000</v>
      </c>
      <c r="K99" s="16">
        <f>Table1[[#This Row],[SỐ LƯỢNG ]]*Table1[[#This Row],[ĐƠN GIÁ /1 KG]]</f>
        <v>49500000</v>
      </c>
      <c r="L99" s="16"/>
      <c r="M99" s="16">
        <v>225</v>
      </c>
      <c r="N99" s="16">
        <v>225</v>
      </c>
      <c r="O99" s="16">
        <v>225</v>
      </c>
      <c r="P99" s="16">
        <v>225</v>
      </c>
      <c r="Q99" s="16">
        <v>225</v>
      </c>
      <c r="R99" s="16">
        <v>225</v>
      </c>
      <c r="S99" s="16"/>
      <c r="T99" s="16">
        <v>20</v>
      </c>
      <c r="U99" s="16">
        <v>10</v>
      </c>
      <c r="V99" s="16"/>
      <c r="W99" s="16"/>
      <c r="X99" s="16"/>
      <c r="Y99" s="16"/>
      <c r="Z99" s="16"/>
      <c r="AA99" s="16"/>
      <c r="AB99" s="16"/>
      <c r="AC99" s="16">
        <v>120</v>
      </c>
      <c r="AD99" s="16"/>
      <c r="AE99" s="16"/>
      <c r="AF99" s="16"/>
      <c r="AG99" s="16"/>
      <c r="AH99" s="16"/>
      <c r="AI99" s="16"/>
      <c r="AJ99" s="16"/>
      <c r="AK99" s="16"/>
      <c r="AL99" s="16"/>
      <c r="AM99" s="16"/>
      <c r="AN99" s="16"/>
      <c r="AO99" s="31">
        <f>Table1[[#This Row],[QUY ĐỔI GRAM]]-SUM(Table1[[#This Row],[XK ĐỒNG TÂM]:[XK LSX 8]])</f>
        <v>0</v>
      </c>
      <c r="AP99" s="31">
        <f>Table1[[#This Row],[CÒN LẠI (gram)]]*Table1[[#This Row],[ĐƠN GIÁ /1 KG]]/1000</f>
        <v>0</v>
      </c>
      <c r="AQ99" s="3" t="s">
        <v>218</v>
      </c>
      <c r="AR99" s="3"/>
      <c r="AS99" s="20"/>
      <c r="AT99" s="3"/>
      <c r="AU99" s="3"/>
    </row>
    <row r="100" spans="1:47" s="4" customFormat="1" ht="24" customHeight="1" x14ac:dyDescent="0.35">
      <c r="A100" s="5">
        <v>97</v>
      </c>
      <c r="B100" s="13" t="s">
        <v>245</v>
      </c>
      <c r="C100" s="3"/>
      <c r="D100" s="199"/>
      <c r="E100" s="15" t="s">
        <v>17</v>
      </c>
      <c r="F100" s="23">
        <v>1</v>
      </c>
      <c r="G100" s="7">
        <v>46008</v>
      </c>
      <c r="H100" s="26">
        <v>97</v>
      </c>
      <c r="I100" s="16">
        <f>Table1[[#This Row],[SỐ LƯỢNG ]]*1000</f>
        <v>1000</v>
      </c>
      <c r="J100" s="16">
        <v>5200000</v>
      </c>
      <c r="K100" s="16">
        <f>Table1[[#This Row],[SỐ LƯỢNG ]]*Table1[[#This Row],[ĐƠN GIÁ /1 KG]]</f>
        <v>5200000</v>
      </c>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31">
        <f>Table1[[#This Row],[QUY ĐỔI GRAM]]-SUM(Table1[[#This Row],[XK ĐỒNG TÂM]:[XK LSX 8]])</f>
        <v>1000</v>
      </c>
      <c r="AP100" s="31">
        <f>Table1[[#This Row],[CÒN LẠI (gram)]]*Table1[[#This Row],[ĐƠN GIÁ /1 KG]]/1000</f>
        <v>5200000</v>
      </c>
      <c r="AQ100" s="3" t="s">
        <v>218</v>
      </c>
      <c r="AR100" s="3"/>
      <c r="AS100" s="20"/>
      <c r="AT100" s="3"/>
      <c r="AU100" s="3"/>
    </row>
    <row r="101" spans="1:47" s="4" customFormat="1" ht="24" customHeight="1" x14ac:dyDescent="0.35">
      <c r="A101" s="5">
        <v>98</v>
      </c>
      <c r="B101" s="13" t="s">
        <v>219</v>
      </c>
      <c r="C101" s="3"/>
      <c r="D101" s="8" t="s">
        <v>422</v>
      </c>
      <c r="E101" s="15" t="s">
        <v>17</v>
      </c>
      <c r="F101" s="23">
        <v>0.1</v>
      </c>
      <c r="G101" s="7">
        <v>46008</v>
      </c>
      <c r="H101" s="26">
        <v>5176</v>
      </c>
      <c r="I101" s="16">
        <f>Table1[[#This Row],[SỐ LƯỢNG ]]*1000</f>
        <v>100</v>
      </c>
      <c r="J101" s="16">
        <v>2700000</v>
      </c>
      <c r="K101" s="16">
        <f>Table1[[#This Row],[SỐ LƯỢNG ]]*Table1[[#This Row],[ĐƠN GIÁ /1 KG]]</f>
        <v>270000</v>
      </c>
      <c r="L101" s="16"/>
      <c r="M101" s="24">
        <v>15.750000000000002</v>
      </c>
      <c r="N101" s="24">
        <v>15.750000000000002</v>
      </c>
      <c r="O101" s="24">
        <v>15.750000000000002</v>
      </c>
      <c r="P101" s="24">
        <v>15.750000000000002</v>
      </c>
      <c r="Q101" s="24">
        <v>15.750000000000002</v>
      </c>
      <c r="R101" s="24">
        <v>15.750000000000002</v>
      </c>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31">
        <f>Table1[[#This Row],[QUY ĐỔI GRAM]]-SUM(Table1[[#This Row],[XK ĐỒNG TÂM]:[XK LSX 8]])</f>
        <v>5.4999999999999858</v>
      </c>
      <c r="AP101" s="31">
        <f>Table1[[#This Row],[CÒN LẠI (gram)]]*Table1[[#This Row],[ĐƠN GIÁ /1 KG]]/1000</f>
        <v>14849.99999999996</v>
      </c>
      <c r="AQ101" s="3" t="s">
        <v>20</v>
      </c>
      <c r="AR101" s="3"/>
      <c r="AS101" s="20"/>
      <c r="AT101" s="3"/>
      <c r="AU101" s="3"/>
    </row>
    <row r="102" spans="1:47" s="4" customFormat="1" ht="24" customHeight="1" x14ac:dyDescent="0.35">
      <c r="A102" s="5">
        <v>99</v>
      </c>
      <c r="B102" s="13" t="s">
        <v>220</v>
      </c>
      <c r="C102" s="3"/>
      <c r="D102" s="8" t="s">
        <v>423</v>
      </c>
      <c r="E102" s="15" t="s">
        <v>17</v>
      </c>
      <c r="F102" s="23">
        <v>0.1</v>
      </c>
      <c r="G102" s="7">
        <v>46008</v>
      </c>
      <c r="H102" s="26">
        <v>5176</v>
      </c>
      <c r="I102" s="16">
        <f>Table1[[#This Row],[SỐ LƯỢNG ]]*1000</f>
        <v>100</v>
      </c>
      <c r="J102" s="16">
        <v>2250000</v>
      </c>
      <c r="K102" s="16">
        <f>Table1[[#This Row],[SỐ LƯỢNG ]]*Table1[[#This Row],[ĐƠN GIÁ /1 KG]]</f>
        <v>225000</v>
      </c>
      <c r="L102" s="16"/>
      <c r="M102" s="24">
        <v>15.750000000000002</v>
      </c>
      <c r="N102" s="24">
        <v>15.750000000000002</v>
      </c>
      <c r="O102" s="24">
        <v>15.750000000000002</v>
      </c>
      <c r="P102" s="24">
        <v>15.750000000000002</v>
      </c>
      <c r="Q102" s="24">
        <v>15.750000000000002</v>
      </c>
      <c r="R102" s="24">
        <v>15.750000000000002</v>
      </c>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31">
        <f>Table1[[#This Row],[QUY ĐỔI GRAM]]-SUM(Table1[[#This Row],[XK ĐỒNG TÂM]:[XK LSX 8]])</f>
        <v>5.4999999999999858</v>
      </c>
      <c r="AP102" s="31">
        <f>Table1[[#This Row],[CÒN LẠI (gram)]]*Table1[[#This Row],[ĐƠN GIÁ /1 KG]]/1000</f>
        <v>12374.999999999969</v>
      </c>
      <c r="AQ102" s="3" t="s">
        <v>20</v>
      </c>
      <c r="AR102" s="3"/>
      <c r="AS102" s="20"/>
      <c r="AT102" s="3"/>
      <c r="AU102" s="3"/>
    </row>
    <row r="103" spans="1:47" s="4" customFormat="1" ht="24" customHeight="1" x14ac:dyDescent="0.35">
      <c r="A103" s="5">
        <v>100</v>
      </c>
      <c r="B103" s="13" t="s">
        <v>424</v>
      </c>
      <c r="C103" s="3"/>
      <c r="D103" s="96" t="s">
        <v>425</v>
      </c>
      <c r="E103" s="15" t="s">
        <v>17</v>
      </c>
      <c r="F103" s="23">
        <v>2.2000000000000002</v>
      </c>
      <c r="G103" s="7">
        <v>46008</v>
      </c>
      <c r="H103" s="26">
        <v>37</v>
      </c>
      <c r="I103" s="16">
        <f>Table1[[#This Row],[SỐ LƯỢNG ]]*1000</f>
        <v>2200</v>
      </c>
      <c r="J103" s="16">
        <v>155000</v>
      </c>
      <c r="K103" s="16">
        <f>Table1[[#This Row],[SỐ LƯỢNG ]]*Table1[[#This Row],[ĐƠN GIÁ /1 KG]]</f>
        <v>341000</v>
      </c>
      <c r="L103" s="16"/>
      <c r="M103" s="16">
        <v>360</v>
      </c>
      <c r="N103" s="16">
        <v>360</v>
      </c>
      <c r="O103" s="16">
        <v>360</v>
      </c>
      <c r="P103" s="16">
        <v>360</v>
      </c>
      <c r="Q103" s="16">
        <v>360</v>
      </c>
      <c r="R103" s="16">
        <v>360</v>
      </c>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31">
        <f>Table1[[#This Row],[QUY ĐỔI GRAM]]-SUM(Table1[[#This Row],[XK ĐỒNG TÂM]:[XK LSX 8]])</f>
        <v>40</v>
      </c>
      <c r="AP103" s="31">
        <f>Table1[[#This Row],[CÒN LẠI (gram)]]*Table1[[#This Row],[ĐƠN GIÁ /1 KG]]/1000</f>
        <v>6200</v>
      </c>
      <c r="AQ103" s="3" t="s">
        <v>210</v>
      </c>
      <c r="AR103" s="3"/>
      <c r="AS103" s="20"/>
      <c r="AT103" s="3"/>
      <c r="AU103" s="3"/>
    </row>
    <row r="104" spans="1:47" s="4" customFormat="1" ht="24" customHeight="1" x14ac:dyDescent="0.35">
      <c r="A104" s="5">
        <v>101</v>
      </c>
      <c r="B104" s="13" t="s">
        <v>230</v>
      </c>
      <c r="C104" s="3"/>
      <c r="D104" s="8" t="s">
        <v>426</v>
      </c>
      <c r="E104" s="15" t="s">
        <v>17</v>
      </c>
      <c r="F104" s="23">
        <v>10.9</v>
      </c>
      <c r="G104" s="7">
        <v>46008</v>
      </c>
      <c r="H104" s="26">
        <v>37</v>
      </c>
      <c r="I104" s="16">
        <f>Table1[[#This Row],[SỐ LƯỢNG ]]*1000</f>
        <v>10900</v>
      </c>
      <c r="J104" s="16">
        <v>1260000</v>
      </c>
      <c r="K104" s="16">
        <f>Table1[[#This Row],[SỐ LƯỢNG ]]*Table1[[#This Row],[ĐƠN GIÁ /1 KG]]</f>
        <v>13734000</v>
      </c>
      <c r="L104" s="16"/>
      <c r="M104" s="16">
        <v>900</v>
      </c>
      <c r="N104" s="16">
        <v>900</v>
      </c>
      <c r="O104" s="16">
        <v>900</v>
      </c>
      <c r="P104" s="16">
        <v>900</v>
      </c>
      <c r="Q104" s="16">
        <v>900</v>
      </c>
      <c r="R104" s="16">
        <v>900</v>
      </c>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31">
        <f>Table1[[#This Row],[QUY ĐỔI GRAM]]-SUM(Table1[[#This Row],[XK ĐỒNG TÂM]:[XK LSX 8]])</f>
        <v>5500</v>
      </c>
      <c r="AP104" s="31">
        <f>Table1[[#This Row],[CÒN LẠI (gram)]]*Table1[[#This Row],[ĐƠN GIÁ /1 KG]]/1000</f>
        <v>6930000</v>
      </c>
      <c r="AQ104" s="3" t="s">
        <v>210</v>
      </c>
      <c r="AR104" s="3"/>
      <c r="AS104" s="20"/>
      <c r="AT104" s="3"/>
      <c r="AU104" s="3"/>
    </row>
    <row r="105" spans="1:47" s="4" customFormat="1" ht="42" x14ac:dyDescent="0.35">
      <c r="A105" s="5">
        <v>102</v>
      </c>
      <c r="B105" s="13" t="s">
        <v>231</v>
      </c>
      <c r="C105" s="3"/>
      <c r="D105" s="8" t="s">
        <v>414</v>
      </c>
      <c r="E105" s="15" t="s">
        <v>17</v>
      </c>
      <c r="F105" s="23">
        <v>2</v>
      </c>
      <c r="G105" s="7">
        <v>46008</v>
      </c>
      <c r="H105" s="26">
        <v>37</v>
      </c>
      <c r="I105" s="16">
        <f>Table1[[#This Row],[SỐ LƯỢNG ]]*1000</f>
        <v>2000</v>
      </c>
      <c r="J105" s="16">
        <v>6539512</v>
      </c>
      <c r="K105" s="16">
        <f>Table1[[#This Row],[SỐ LƯỢNG ]]*Table1[[#This Row],[ĐƠN GIÁ /1 KG]]</f>
        <v>13079024</v>
      </c>
      <c r="L105" s="16"/>
      <c r="M105" s="105"/>
      <c r="N105" s="105"/>
      <c r="O105" s="105"/>
      <c r="P105" s="105">
        <v>215</v>
      </c>
      <c r="Q105" s="106">
        <v>292.5</v>
      </c>
      <c r="R105" s="106">
        <v>292.5</v>
      </c>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04">
        <f>Table1[[#This Row],[QUY ĐỔI GRAM]]-SUM(Table1[[#This Row],[XK ĐỒNG TÂM]:[XK LSX 8]])</f>
        <v>1200</v>
      </c>
      <c r="AP105" s="31">
        <f>Table1[[#This Row],[CÒN LẠI (gram)]]*Table1[[#This Row],[ĐƠN GIÁ /1 KG]]/1000</f>
        <v>7847414.4000000004</v>
      </c>
      <c r="AQ105" s="3" t="s">
        <v>210</v>
      </c>
      <c r="AR105" s="3"/>
      <c r="AS105" s="20"/>
      <c r="AT105" s="3"/>
      <c r="AU105" s="3"/>
    </row>
    <row r="106" spans="1:47" s="4" customFormat="1" ht="31.5" customHeight="1" x14ac:dyDescent="0.35">
      <c r="A106" s="5">
        <v>103</v>
      </c>
      <c r="B106" s="13" t="s">
        <v>232</v>
      </c>
      <c r="C106" s="3"/>
      <c r="D106" s="8" t="s">
        <v>427</v>
      </c>
      <c r="E106" s="15" t="s">
        <v>17</v>
      </c>
      <c r="F106" s="23">
        <v>2.5</v>
      </c>
      <c r="G106" s="7">
        <v>46008</v>
      </c>
      <c r="H106" s="26">
        <v>37</v>
      </c>
      <c r="I106" s="16">
        <f>Table1[[#This Row],[SỐ LƯỢNG ]]*1000</f>
        <v>2500</v>
      </c>
      <c r="J106" s="16">
        <v>3275000</v>
      </c>
      <c r="K106" s="16">
        <f>Table1[[#This Row],[SỐ LƯỢNG ]]*Table1[[#This Row],[ĐƠN GIÁ /1 KG]]</f>
        <v>8187500</v>
      </c>
      <c r="L106" s="16"/>
      <c r="M106" s="108">
        <v>315</v>
      </c>
      <c r="N106" s="108">
        <v>315</v>
      </c>
      <c r="O106" s="108">
        <v>315</v>
      </c>
      <c r="P106" s="108">
        <v>270</v>
      </c>
      <c r="Q106" s="160">
        <v>292.5</v>
      </c>
      <c r="R106" s="108">
        <v>270</v>
      </c>
      <c r="S106" s="108"/>
      <c r="T106" s="16"/>
      <c r="U106" s="16"/>
      <c r="V106" s="16"/>
      <c r="W106" s="16"/>
      <c r="X106" s="16"/>
      <c r="Y106" s="16"/>
      <c r="Z106" s="16"/>
      <c r="AA106" s="16"/>
      <c r="AB106" s="16"/>
      <c r="AC106" s="16"/>
      <c r="AD106" s="16"/>
      <c r="AE106" s="16"/>
      <c r="AF106" s="16"/>
      <c r="AG106" s="16"/>
      <c r="AH106" s="16"/>
      <c r="AI106" s="16"/>
      <c r="AJ106" s="16"/>
      <c r="AK106" s="16"/>
      <c r="AL106" s="16"/>
      <c r="AM106" s="16"/>
      <c r="AN106" s="16"/>
      <c r="AO106" s="104">
        <f>Table1[[#This Row],[QUY ĐỔI GRAM]]-SUM(Table1[[#This Row],[XK ĐỒNG TÂM]:[XK LSX 8]])</f>
        <v>722.5</v>
      </c>
      <c r="AP106" s="31">
        <f>Table1[[#This Row],[CÒN LẠI (gram)]]*Table1[[#This Row],[ĐƠN GIÁ /1 KG]]/1000</f>
        <v>2366187.5</v>
      </c>
      <c r="AQ106" s="3" t="s">
        <v>210</v>
      </c>
      <c r="AR106" s="3"/>
      <c r="AS106" s="20"/>
      <c r="AT106" s="3"/>
      <c r="AU106" s="3"/>
    </row>
    <row r="107" spans="1:47" s="4" customFormat="1" ht="31.5" customHeight="1" x14ac:dyDescent="0.35">
      <c r="A107" s="5">
        <v>104</v>
      </c>
      <c r="B107" s="13" t="s">
        <v>233</v>
      </c>
      <c r="C107" s="3"/>
      <c r="D107" s="8" t="s">
        <v>428</v>
      </c>
      <c r="E107" s="15" t="s">
        <v>17</v>
      </c>
      <c r="F107" s="23">
        <v>1</v>
      </c>
      <c r="G107" s="7">
        <v>46008</v>
      </c>
      <c r="H107" s="26">
        <v>37</v>
      </c>
      <c r="I107" s="16">
        <f>Table1[[#This Row],[SỐ LƯỢNG ]]*1000</f>
        <v>1000</v>
      </c>
      <c r="J107" s="16">
        <v>3930000</v>
      </c>
      <c r="K107" s="16">
        <f>Table1[[#This Row],[SỐ LƯỢNG ]]*Table1[[#This Row],[ĐƠN GIÁ /1 KG]]</f>
        <v>3930000</v>
      </c>
      <c r="L107" s="16"/>
      <c r="M107" s="105"/>
      <c r="N107" s="105"/>
      <c r="O107" s="105">
        <v>315</v>
      </c>
      <c r="P107" s="105"/>
      <c r="Q107" s="105"/>
      <c r="R107" s="106">
        <v>247.5</v>
      </c>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04">
        <f>Table1[[#This Row],[QUY ĐỔI GRAM]]-SUM(Table1[[#This Row],[XK ĐỒNG TÂM]:[XK LSX 8]])</f>
        <v>437.5</v>
      </c>
      <c r="AP107" s="31">
        <f>Table1[[#This Row],[CÒN LẠI (gram)]]*Table1[[#This Row],[ĐƠN GIÁ /1 KG]]/1000</f>
        <v>1719375</v>
      </c>
      <c r="AQ107" s="3" t="s">
        <v>210</v>
      </c>
      <c r="AR107" s="3"/>
      <c r="AS107" s="20"/>
      <c r="AT107" s="3"/>
      <c r="AU107" s="3"/>
    </row>
    <row r="108" spans="1:47" s="4" customFormat="1" ht="24" customHeight="1" x14ac:dyDescent="0.35">
      <c r="A108" s="5">
        <v>105</v>
      </c>
      <c r="B108" s="13" t="s">
        <v>234</v>
      </c>
      <c r="C108" s="3"/>
      <c r="D108" s="8" t="s">
        <v>360</v>
      </c>
      <c r="E108" s="15" t="s">
        <v>17</v>
      </c>
      <c r="F108" s="23">
        <v>2.2999999999999998</v>
      </c>
      <c r="G108" s="7">
        <v>46008</v>
      </c>
      <c r="H108" s="26">
        <v>37</v>
      </c>
      <c r="I108" s="16">
        <f>Table1[[#This Row],[SỐ LƯỢNG ]]*1000</f>
        <v>2300</v>
      </c>
      <c r="J108" s="16">
        <v>1690000</v>
      </c>
      <c r="K108" s="16">
        <f>Table1[[#This Row],[SỐ LƯỢNG ]]*Table1[[#This Row],[ĐƠN GIÁ /1 KG]]</f>
        <v>3886999.9999999995</v>
      </c>
      <c r="L108" s="16"/>
      <c r="M108" s="33">
        <v>337.5</v>
      </c>
      <c r="N108" s="33">
        <v>337.5</v>
      </c>
      <c r="O108" s="33">
        <v>337.5</v>
      </c>
      <c r="P108" s="33">
        <v>337.5</v>
      </c>
      <c r="Q108" s="33">
        <v>337.5</v>
      </c>
      <c r="R108" s="33">
        <v>337.5</v>
      </c>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31">
        <f>Table1[[#This Row],[QUY ĐỔI GRAM]]-SUM(Table1[[#This Row],[XK ĐỒNG TÂM]:[XK LSX 8]])</f>
        <v>275</v>
      </c>
      <c r="AP108" s="31">
        <f>Table1[[#This Row],[CÒN LẠI (gram)]]*Table1[[#This Row],[ĐƠN GIÁ /1 KG]]/1000</f>
        <v>464750</v>
      </c>
      <c r="AQ108" s="3" t="s">
        <v>210</v>
      </c>
      <c r="AR108" s="3"/>
      <c r="AS108" s="20"/>
      <c r="AT108" s="3"/>
      <c r="AU108" s="3"/>
    </row>
    <row r="109" spans="1:47" s="4" customFormat="1" ht="24" customHeight="1" x14ac:dyDescent="0.35">
      <c r="A109" s="5">
        <v>106</v>
      </c>
      <c r="B109" s="13" t="s">
        <v>235</v>
      </c>
      <c r="C109" s="3"/>
      <c r="D109" s="8" t="s">
        <v>359</v>
      </c>
      <c r="E109" s="15" t="s">
        <v>17</v>
      </c>
      <c r="F109" s="23">
        <v>7.1</v>
      </c>
      <c r="G109" s="7">
        <v>46008</v>
      </c>
      <c r="H109" s="26">
        <v>37</v>
      </c>
      <c r="I109" s="16">
        <f>Table1[[#This Row],[SỐ LƯỢNG ]]*1000</f>
        <v>7100</v>
      </c>
      <c r="J109" s="16">
        <v>625000</v>
      </c>
      <c r="K109" s="16">
        <f>Table1[[#This Row],[SỐ LƯỢNG ]]*Table1[[#This Row],[ĐƠN GIÁ /1 KG]]</f>
        <v>4437500</v>
      </c>
      <c r="L109" s="16"/>
      <c r="M109" s="16">
        <v>675</v>
      </c>
      <c r="N109" s="16">
        <v>675</v>
      </c>
      <c r="O109" s="16">
        <v>675</v>
      </c>
      <c r="P109" s="16">
        <v>675</v>
      </c>
      <c r="Q109" s="16">
        <v>675</v>
      </c>
      <c r="R109" s="16">
        <v>675</v>
      </c>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31">
        <f>Table1[[#This Row],[QUY ĐỔI GRAM]]-SUM(Table1[[#This Row],[XK ĐỒNG TÂM]:[XK LSX 8]])</f>
        <v>3050</v>
      </c>
      <c r="AP109" s="31">
        <f>Table1[[#This Row],[CÒN LẠI (gram)]]*Table1[[#This Row],[ĐƠN GIÁ /1 KG]]/1000</f>
        <v>1906250</v>
      </c>
      <c r="AQ109" s="3" t="s">
        <v>210</v>
      </c>
      <c r="AR109" s="3"/>
      <c r="AS109" s="20"/>
      <c r="AT109" s="3"/>
      <c r="AU109" s="3"/>
    </row>
    <row r="110" spans="1:47" s="46" customFormat="1" ht="24" customHeight="1" x14ac:dyDescent="0.35">
      <c r="A110" s="5">
        <v>107</v>
      </c>
      <c r="B110" s="53" t="s">
        <v>236</v>
      </c>
      <c r="C110" s="20"/>
      <c r="D110" s="42" t="s">
        <v>358</v>
      </c>
      <c r="E110" s="15" t="s">
        <v>17</v>
      </c>
      <c r="F110" s="43">
        <v>2.2000000000000002</v>
      </c>
      <c r="G110" s="52">
        <v>46008</v>
      </c>
      <c r="H110" s="26">
        <v>37</v>
      </c>
      <c r="I110" s="44">
        <f>Table1[[#This Row],[SỐ LƯỢNG ]]*1000</f>
        <v>2200</v>
      </c>
      <c r="J110" s="44">
        <v>1400000</v>
      </c>
      <c r="K110" s="16">
        <f>Table1[[#This Row],[SỐ LƯỢNG ]]*Table1[[#This Row],[ĐƠN GIÁ /1 KG]]</f>
        <v>3080000.0000000005</v>
      </c>
      <c r="L110" s="44"/>
      <c r="M110" s="43">
        <v>337.5</v>
      </c>
      <c r="N110" s="43">
        <v>337.5</v>
      </c>
      <c r="O110" s="43">
        <v>337.5</v>
      </c>
      <c r="P110" s="43">
        <v>337.5</v>
      </c>
      <c r="Q110" s="43">
        <v>337.5</v>
      </c>
      <c r="R110" s="43">
        <v>337.5</v>
      </c>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5">
        <f>Table1[[#This Row],[QUY ĐỔI GRAM]]-SUM(Table1[[#This Row],[XK ĐỒNG TÂM]:[XK LSX 8]])</f>
        <v>175</v>
      </c>
      <c r="AP110" s="45">
        <f>Table1[[#This Row],[CÒN LẠI (gram)]]*Table1[[#This Row],[ĐƠN GIÁ /1 KG]]/1000</f>
        <v>245000</v>
      </c>
      <c r="AQ110" s="3" t="s">
        <v>210</v>
      </c>
      <c r="AR110" s="20"/>
      <c r="AS110" s="20"/>
      <c r="AT110" s="20"/>
      <c r="AU110" s="20"/>
    </row>
    <row r="111" spans="1:47" s="46" customFormat="1" ht="24" customHeight="1" x14ac:dyDescent="0.35">
      <c r="A111" s="5">
        <v>108</v>
      </c>
      <c r="B111" s="53" t="s">
        <v>237</v>
      </c>
      <c r="C111" s="20"/>
      <c r="D111" s="42" t="s">
        <v>357</v>
      </c>
      <c r="E111" s="15" t="s">
        <v>17</v>
      </c>
      <c r="F111" s="43">
        <v>3</v>
      </c>
      <c r="G111" s="52">
        <v>46008</v>
      </c>
      <c r="H111" s="26">
        <v>37</v>
      </c>
      <c r="I111" s="44">
        <f>Table1[[#This Row],[SỐ LƯỢNG ]]*1000</f>
        <v>3000</v>
      </c>
      <c r="J111" s="44">
        <v>1300000</v>
      </c>
      <c r="K111" s="16">
        <f>Table1[[#This Row],[SỐ LƯỢNG ]]*Table1[[#This Row],[ĐƠN GIÁ /1 KG]]</f>
        <v>3900000</v>
      </c>
      <c r="L111" s="44"/>
      <c r="M111" s="44">
        <v>450</v>
      </c>
      <c r="N111" s="44">
        <v>450</v>
      </c>
      <c r="O111" s="44">
        <v>450</v>
      </c>
      <c r="P111" s="44">
        <v>450</v>
      </c>
      <c r="Q111" s="44">
        <v>450</v>
      </c>
      <c r="R111" s="44">
        <v>450</v>
      </c>
      <c r="S111" s="44"/>
      <c r="T111" s="44"/>
      <c r="U111" s="44">
        <v>300</v>
      </c>
      <c r="V111" s="44"/>
      <c r="W111" s="44"/>
      <c r="X111" s="44"/>
      <c r="Y111" s="44"/>
      <c r="Z111" s="44"/>
      <c r="AA111" s="44"/>
      <c r="AB111" s="44"/>
      <c r="AC111" s="44"/>
      <c r="AD111" s="44"/>
      <c r="AE111" s="44"/>
      <c r="AF111" s="44"/>
      <c r="AG111" s="44"/>
      <c r="AH111" s="44"/>
      <c r="AI111" s="44"/>
      <c r="AJ111" s="44"/>
      <c r="AK111" s="44"/>
      <c r="AL111" s="44"/>
      <c r="AM111" s="44"/>
      <c r="AN111" s="44"/>
      <c r="AO111" s="45">
        <f>Table1[[#This Row],[QUY ĐỔI GRAM]]-SUM(Table1[[#This Row],[XK ĐỒNG TÂM]:[XK LSX 8]])</f>
        <v>0</v>
      </c>
      <c r="AP111" s="45">
        <f>Table1[[#This Row],[CÒN LẠI (gram)]]*Table1[[#This Row],[ĐƠN GIÁ /1 KG]]/1000</f>
        <v>0</v>
      </c>
      <c r="AQ111" s="3" t="s">
        <v>210</v>
      </c>
      <c r="AR111" s="20"/>
      <c r="AS111" s="20"/>
      <c r="AT111" s="20"/>
      <c r="AU111" s="20"/>
    </row>
    <row r="112" spans="1:47" s="46" customFormat="1" ht="24" customHeight="1" x14ac:dyDescent="0.35">
      <c r="A112" s="5">
        <v>109</v>
      </c>
      <c r="B112" s="53" t="s">
        <v>238</v>
      </c>
      <c r="C112" s="20"/>
      <c r="D112" s="42" t="s">
        <v>356</v>
      </c>
      <c r="E112" s="15" t="s">
        <v>17</v>
      </c>
      <c r="F112" s="43">
        <v>5.2</v>
      </c>
      <c r="G112" s="52">
        <v>46008</v>
      </c>
      <c r="H112" s="26">
        <v>37</v>
      </c>
      <c r="I112" s="44">
        <f>Table1[[#This Row],[SỐ LƯỢNG ]]*1000</f>
        <v>5200</v>
      </c>
      <c r="J112" s="44">
        <v>725000</v>
      </c>
      <c r="K112" s="16">
        <f>Table1[[#This Row],[SỐ LƯỢNG ]]*Table1[[#This Row],[ĐƠN GIÁ /1 KG]]</f>
        <v>3770000</v>
      </c>
      <c r="L112" s="44"/>
      <c r="M112" s="44">
        <v>810.00000000000011</v>
      </c>
      <c r="N112" s="44">
        <v>810.00000000000011</v>
      </c>
      <c r="O112" s="44">
        <v>810.00000000000011</v>
      </c>
      <c r="P112" s="44">
        <v>810.00000000000011</v>
      </c>
      <c r="Q112" s="44">
        <v>810.00000000000011</v>
      </c>
      <c r="R112" s="44">
        <v>810.00000000000011</v>
      </c>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5">
        <f>Table1[[#This Row],[QUY ĐỔI GRAM]]-SUM(Table1[[#This Row],[XK ĐỒNG TÂM]:[XK LSX 8]])</f>
        <v>339.99999999999909</v>
      </c>
      <c r="AP112" s="45">
        <f>Table1[[#This Row],[CÒN LẠI (gram)]]*Table1[[#This Row],[ĐƠN GIÁ /1 KG]]/1000</f>
        <v>246499.99999999933</v>
      </c>
      <c r="AQ112" s="3" t="s">
        <v>210</v>
      </c>
      <c r="AR112" s="20"/>
      <c r="AS112" s="20"/>
      <c r="AT112" s="20"/>
      <c r="AU112" s="20"/>
    </row>
    <row r="113" spans="1:47" s="46" customFormat="1" ht="24" customHeight="1" x14ac:dyDescent="0.35">
      <c r="A113" s="5">
        <v>110</v>
      </c>
      <c r="B113" s="53" t="s">
        <v>239</v>
      </c>
      <c r="C113" s="20"/>
      <c r="D113" s="42" t="s">
        <v>409</v>
      </c>
      <c r="E113" s="15" t="s">
        <v>17</v>
      </c>
      <c r="F113" s="43">
        <v>9</v>
      </c>
      <c r="G113" s="52">
        <v>46008</v>
      </c>
      <c r="H113" s="26">
        <v>40</v>
      </c>
      <c r="I113" s="44">
        <f>Table1[[#This Row],[SỐ LƯỢNG ]]*1000</f>
        <v>9000</v>
      </c>
      <c r="J113" s="44">
        <v>1680000</v>
      </c>
      <c r="K113" s="16">
        <f>Table1[[#This Row],[SỐ LƯỢNG ]]*Table1[[#This Row],[ĐƠN GIÁ /1 KG]]</f>
        <v>15120000</v>
      </c>
      <c r="L113" s="44"/>
      <c r="M113" s="44">
        <v>1125</v>
      </c>
      <c r="N113" s="44">
        <v>1125</v>
      </c>
      <c r="O113" s="44">
        <v>1125</v>
      </c>
      <c r="P113" s="44">
        <v>1125</v>
      </c>
      <c r="Q113" s="44">
        <v>1125</v>
      </c>
      <c r="R113" s="44">
        <v>1125</v>
      </c>
      <c r="S113" s="44"/>
      <c r="T113" s="44"/>
      <c r="U113" s="44">
        <v>500</v>
      </c>
      <c r="V113" s="44"/>
      <c r="W113" s="44"/>
      <c r="X113" s="44"/>
      <c r="Y113" s="44">
        <v>1004.5</v>
      </c>
      <c r="Z113" s="44"/>
      <c r="AA113" s="44"/>
      <c r="AB113" s="44"/>
      <c r="AC113" s="44"/>
      <c r="AD113" s="44"/>
      <c r="AE113" s="44"/>
      <c r="AF113" s="44"/>
      <c r="AG113" s="44"/>
      <c r="AH113" s="44"/>
      <c r="AI113" s="44"/>
      <c r="AJ113" s="44"/>
      <c r="AK113" s="44"/>
      <c r="AL113" s="44"/>
      <c r="AM113" s="44"/>
      <c r="AN113" s="44"/>
      <c r="AO113" s="45">
        <f>Table1[[#This Row],[QUY ĐỔI GRAM]]-SUM(Table1[[#This Row],[XK ĐỒNG TÂM]:[XK LSX 8]])</f>
        <v>745.5</v>
      </c>
      <c r="AP113" s="45">
        <f>Table1[[#This Row],[CÒN LẠI (gram)]]*Table1[[#This Row],[ĐƠN GIÁ /1 KG]]/1000</f>
        <v>1252440</v>
      </c>
      <c r="AQ113" s="3" t="s">
        <v>210</v>
      </c>
      <c r="AR113" s="20"/>
      <c r="AS113" s="20"/>
      <c r="AT113" s="20"/>
      <c r="AU113" s="20"/>
    </row>
    <row r="114" spans="1:47" s="46" customFormat="1" ht="24" customHeight="1" x14ac:dyDescent="0.35">
      <c r="A114" s="5">
        <v>111</v>
      </c>
      <c r="B114" s="53" t="s">
        <v>254</v>
      </c>
      <c r="C114" s="20"/>
      <c r="D114" s="42" t="s">
        <v>355</v>
      </c>
      <c r="E114" s="15" t="s">
        <v>17</v>
      </c>
      <c r="F114" s="43">
        <v>0.5</v>
      </c>
      <c r="G114" s="52">
        <v>46009</v>
      </c>
      <c r="H114" s="26">
        <v>995</v>
      </c>
      <c r="I114" s="44">
        <f>Table1[[#This Row],[SỐ LƯỢNG ]]*1000</f>
        <v>500</v>
      </c>
      <c r="J114" s="44">
        <v>3000000</v>
      </c>
      <c r="K114" s="16">
        <f>Table1[[#This Row],[SỐ LƯỢNG ]]*Table1[[#This Row],[ĐƠN GIÁ /1 KG]]</f>
        <v>1500000</v>
      </c>
      <c r="L114" s="44"/>
      <c r="M114" s="44"/>
      <c r="N114" s="44"/>
      <c r="O114" s="44"/>
      <c r="P114" s="44"/>
      <c r="Q114" s="44"/>
      <c r="R114" s="44"/>
      <c r="S114" s="44">
        <v>480</v>
      </c>
      <c r="T114" s="44"/>
      <c r="U114" s="44"/>
      <c r="V114" s="44"/>
      <c r="W114" s="44"/>
      <c r="X114" s="44"/>
      <c r="Y114" s="44"/>
      <c r="Z114" s="44"/>
      <c r="AA114" s="44"/>
      <c r="AB114" s="44"/>
      <c r="AC114" s="44"/>
      <c r="AD114" s="44"/>
      <c r="AE114" s="44"/>
      <c r="AF114" s="44"/>
      <c r="AG114" s="44"/>
      <c r="AH114" s="44"/>
      <c r="AI114" s="44"/>
      <c r="AJ114" s="44"/>
      <c r="AK114" s="44"/>
      <c r="AL114" s="44"/>
      <c r="AM114" s="44"/>
      <c r="AN114" s="44"/>
      <c r="AO114" s="45">
        <f>Table1[[#This Row],[QUY ĐỔI GRAM]]-SUM(Table1[[#This Row],[XK ĐỒNG TÂM]:[XK LSX 8]])</f>
        <v>20</v>
      </c>
      <c r="AP114" s="45">
        <f>Table1[[#This Row],[CÒN LẠI (gram)]]*Table1[[#This Row],[ĐƠN GIÁ /1 KG]]/1000</f>
        <v>60000</v>
      </c>
      <c r="AQ114" s="20" t="s">
        <v>151</v>
      </c>
      <c r="AR114" s="20"/>
      <c r="AS114" s="20"/>
      <c r="AT114" s="20"/>
      <c r="AU114" s="20"/>
    </row>
    <row r="115" spans="1:47" s="46" customFormat="1" ht="24" customHeight="1" x14ac:dyDescent="0.35">
      <c r="A115" s="5">
        <v>112</v>
      </c>
      <c r="B115" s="66" t="s">
        <v>160</v>
      </c>
      <c r="C115" s="47"/>
      <c r="D115" s="48" t="s">
        <v>190</v>
      </c>
      <c r="E115" s="65" t="s">
        <v>17</v>
      </c>
      <c r="F115" s="49">
        <v>120</v>
      </c>
      <c r="G115" s="72">
        <v>46010</v>
      </c>
      <c r="H115" s="69">
        <v>38</v>
      </c>
      <c r="I115" s="50">
        <f>Table1[[#This Row],[SỐ LƯỢNG ]]*1000</f>
        <v>120000</v>
      </c>
      <c r="J115" s="50">
        <v>46000</v>
      </c>
      <c r="K115" s="16">
        <f>Table1[[#This Row],[SỐ LƯỢNG ]]*Table1[[#This Row],[ĐƠN GIÁ /1 KG]]</f>
        <v>5520000</v>
      </c>
      <c r="L115" s="50"/>
      <c r="M115" s="50"/>
      <c r="N115" s="50"/>
      <c r="O115" s="50"/>
      <c r="P115" s="50"/>
      <c r="Q115" s="50"/>
      <c r="R115" s="50"/>
      <c r="S115" s="50">
        <v>120000</v>
      </c>
      <c r="T115" s="50"/>
      <c r="U115" s="50"/>
      <c r="V115" s="50"/>
      <c r="W115" s="50"/>
      <c r="X115" s="50"/>
      <c r="Y115" s="50"/>
      <c r="Z115" s="50"/>
      <c r="AA115" s="50"/>
      <c r="AB115" s="50"/>
      <c r="AC115" s="50"/>
      <c r="AD115" s="50"/>
      <c r="AE115" s="50"/>
      <c r="AF115" s="50"/>
      <c r="AG115" s="50"/>
      <c r="AH115" s="50"/>
      <c r="AI115" s="50"/>
      <c r="AJ115" s="50"/>
      <c r="AK115" s="50"/>
      <c r="AL115" s="50"/>
      <c r="AM115" s="50"/>
      <c r="AN115" s="50"/>
      <c r="AO115" s="51">
        <f>Table1[[#This Row],[QUY ĐỔI GRAM]]-SUM(Table1[[#This Row],[XK ĐỒNG TÂM]:[XK LSX 8]])</f>
        <v>0</v>
      </c>
      <c r="AP115" s="51">
        <f>Table1[[#This Row],[CÒN LẠI (gram)]]*Table1[[#This Row],[ĐƠN GIÁ /1 KG]]/1000</f>
        <v>0</v>
      </c>
      <c r="AQ115" s="47" t="s">
        <v>255</v>
      </c>
      <c r="AR115" s="20"/>
      <c r="AS115" s="20"/>
      <c r="AT115" s="20"/>
      <c r="AU115" s="20"/>
    </row>
    <row r="116" spans="1:47" ht="21" customHeight="1" x14ac:dyDescent="0.35">
      <c r="A116" s="5">
        <v>113</v>
      </c>
      <c r="B116" s="66" t="s">
        <v>256</v>
      </c>
      <c r="C116" s="47"/>
      <c r="D116" s="48" t="s">
        <v>257</v>
      </c>
      <c r="E116" s="65" t="s">
        <v>17</v>
      </c>
      <c r="F116" s="49">
        <v>4</v>
      </c>
      <c r="G116" s="72">
        <v>46010</v>
      </c>
      <c r="H116" s="69">
        <v>38</v>
      </c>
      <c r="I116" s="50">
        <f>Table1[[#This Row],[SỐ LƯỢNG ]]*1000</f>
        <v>4000</v>
      </c>
      <c r="J116" s="50">
        <v>77000</v>
      </c>
      <c r="K116" s="16">
        <f>Table1[[#This Row],[SỐ LƯỢNG ]]*Table1[[#This Row],[ĐƠN GIÁ /1 KG]]</f>
        <v>308000</v>
      </c>
      <c r="L116" s="50"/>
      <c r="M116" s="50"/>
      <c r="N116" s="50"/>
      <c r="O116" s="50"/>
      <c r="P116" s="50"/>
      <c r="Q116" s="50"/>
      <c r="R116" s="50"/>
      <c r="S116" s="50">
        <v>1800</v>
      </c>
      <c r="T116" s="50"/>
      <c r="U116" s="50"/>
      <c r="V116" s="50"/>
      <c r="W116" s="50"/>
      <c r="X116" s="50">
        <v>150</v>
      </c>
      <c r="Y116" s="50"/>
      <c r="Z116" s="50"/>
      <c r="AA116" s="50"/>
      <c r="AB116" s="50"/>
      <c r="AC116" s="50"/>
      <c r="AD116" s="50"/>
      <c r="AE116" s="50"/>
      <c r="AF116" s="50"/>
      <c r="AG116" s="50"/>
      <c r="AH116" s="50"/>
      <c r="AI116" s="50"/>
      <c r="AJ116" s="50"/>
      <c r="AK116" s="50"/>
      <c r="AL116" s="50"/>
      <c r="AM116" s="50"/>
      <c r="AN116" s="50"/>
      <c r="AO116" s="51">
        <f>Table1[[#This Row],[QUY ĐỔI GRAM]]-SUM(Table1[[#This Row],[XK ĐỒNG TÂM]:[XK LSX 8]])</f>
        <v>2050</v>
      </c>
      <c r="AP116" s="51">
        <f>Table1[[#This Row],[CÒN LẠI (gram)]]*Table1[[#This Row],[ĐƠN GIÁ /1 KG]]/1000</f>
        <v>157850</v>
      </c>
      <c r="AQ116" s="47" t="s">
        <v>255</v>
      </c>
      <c r="AR116" s="20"/>
      <c r="AS116" s="20"/>
      <c r="AT116" s="20"/>
      <c r="AU116" s="20"/>
    </row>
    <row r="117" spans="1:47" ht="21" customHeight="1" x14ac:dyDescent="0.35">
      <c r="A117" s="5">
        <v>114</v>
      </c>
      <c r="B117" s="66" t="s">
        <v>204</v>
      </c>
      <c r="C117" s="47"/>
      <c r="D117" s="25" t="s">
        <v>258</v>
      </c>
      <c r="E117" s="65" t="s">
        <v>17</v>
      </c>
      <c r="F117" s="49">
        <v>3</v>
      </c>
      <c r="G117" s="72">
        <v>46010</v>
      </c>
      <c r="H117" s="69">
        <v>38</v>
      </c>
      <c r="I117" s="50">
        <f>Table1[[#This Row],[SỐ LƯỢNG ]]*1000</f>
        <v>3000</v>
      </c>
      <c r="J117" s="50">
        <v>90000</v>
      </c>
      <c r="K117" s="16">
        <f>Table1[[#This Row],[SỐ LƯỢNG ]]*Table1[[#This Row],[ĐƠN GIÁ /1 KG]]</f>
        <v>270000</v>
      </c>
      <c r="L117" s="50"/>
      <c r="M117" s="50"/>
      <c r="N117" s="50"/>
      <c r="O117" s="50"/>
      <c r="P117" s="50"/>
      <c r="Q117" s="50"/>
      <c r="R117" s="50"/>
      <c r="S117" s="50">
        <v>3000</v>
      </c>
      <c r="T117" s="50"/>
      <c r="U117" s="50"/>
      <c r="V117" s="50"/>
      <c r="W117" s="50"/>
      <c r="X117" s="50"/>
      <c r="Y117" s="50"/>
      <c r="Z117" s="50"/>
      <c r="AA117" s="50"/>
      <c r="AB117" s="50"/>
      <c r="AC117" s="50"/>
      <c r="AD117" s="50"/>
      <c r="AE117" s="50"/>
      <c r="AF117" s="50"/>
      <c r="AG117" s="50"/>
      <c r="AH117" s="50"/>
      <c r="AI117" s="50"/>
      <c r="AJ117" s="50"/>
      <c r="AK117" s="50"/>
      <c r="AL117" s="50"/>
      <c r="AM117" s="50"/>
      <c r="AN117" s="50"/>
      <c r="AO117" s="51">
        <f>Table1[[#This Row],[QUY ĐỔI GRAM]]-SUM(Table1[[#This Row],[XK ĐỒNG TÂM]:[XK LSX 8]])</f>
        <v>0</v>
      </c>
      <c r="AP117" s="51">
        <f>Table1[[#This Row],[CÒN LẠI (gram)]]*Table1[[#This Row],[ĐƠN GIÁ /1 KG]]/1000</f>
        <v>0</v>
      </c>
      <c r="AQ117" s="47"/>
      <c r="AR117" s="20"/>
      <c r="AS117" s="20"/>
      <c r="AT117" s="20"/>
      <c r="AU117" s="20"/>
    </row>
    <row r="118" spans="1:47" ht="21" customHeight="1" x14ac:dyDescent="0.35">
      <c r="A118" s="5">
        <v>115</v>
      </c>
      <c r="B118" s="47" t="s">
        <v>259</v>
      </c>
      <c r="C118" s="47" t="s">
        <v>263</v>
      </c>
      <c r="D118" s="48"/>
      <c r="E118" s="65" t="s">
        <v>260</v>
      </c>
      <c r="F118" s="49">
        <v>800</v>
      </c>
      <c r="G118" s="72">
        <v>46011</v>
      </c>
      <c r="H118" s="69">
        <v>39</v>
      </c>
      <c r="I118" s="50"/>
      <c r="J118" s="50">
        <v>4300</v>
      </c>
      <c r="K118" s="16">
        <f>Table1[[#This Row],[SỐ LƯỢNG ]]*Table1[[#This Row],[ĐƠN GIÁ /1 KG]]</f>
        <v>3440000</v>
      </c>
      <c r="L118" s="50"/>
      <c r="M118" s="50"/>
      <c r="N118" s="50"/>
      <c r="O118" s="50"/>
      <c r="P118" s="50"/>
      <c r="Q118" s="50"/>
      <c r="R118" s="50"/>
      <c r="S118" s="50"/>
      <c r="T118" s="50"/>
      <c r="U118" s="50"/>
      <c r="V118" s="50"/>
      <c r="W118" s="50"/>
      <c r="X118" s="50"/>
      <c r="Y118" s="50"/>
      <c r="Z118" s="50"/>
      <c r="AA118" s="50">
        <v>800</v>
      </c>
      <c r="AB118" s="50"/>
      <c r="AC118" s="50"/>
      <c r="AD118" s="50"/>
      <c r="AE118" s="50"/>
      <c r="AF118" s="50"/>
      <c r="AG118" s="50"/>
      <c r="AH118" s="50"/>
      <c r="AI118" s="50"/>
      <c r="AJ118" s="50"/>
      <c r="AK118" s="50"/>
      <c r="AL118" s="50"/>
      <c r="AM118" s="50"/>
      <c r="AN118" s="50"/>
      <c r="AO118" s="51">
        <f>Table1[[#This Row],[SỐ LƯỢNG ]]-SUM(Table1[[#This Row],[XK ĐỒNG TÂM]:[XK LSX 8]])</f>
        <v>0</v>
      </c>
      <c r="AP118" s="51">
        <f>Table1[[#This Row],[CÒN LẠI (gram)]]*Table1[[#This Row],[ĐƠN GIÁ /1 KG]]</f>
        <v>0</v>
      </c>
      <c r="AQ118" s="47" t="s">
        <v>255</v>
      </c>
      <c r="AR118" s="20"/>
      <c r="AS118" s="20"/>
      <c r="AT118" s="20"/>
      <c r="AU118" s="20"/>
    </row>
    <row r="119" spans="1:47" ht="21" customHeight="1" x14ac:dyDescent="0.35">
      <c r="A119" s="5">
        <v>116</v>
      </c>
      <c r="B119" s="47" t="s">
        <v>261</v>
      </c>
      <c r="C119" s="47" t="s">
        <v>263</v>
      </c>
      <c r="D119" s="48"/>
      <c r="E119" s="65" t="s">
        <v>260</v>
      </c>
      <c r="F119" s="49">
        <v>1500</v>
      </c>
      <c r="G119" s="72">
        <v>46011</v>
      </c>
      <c r="H119" s="69">
        <v>39</v>
      </c>
      <c r="I119" s="50"/>
      <c r="J119" s="50">
        <v>3500</v>
      </c>
      <c r="K119" s="16">
        <f>Table1[[#This Row],[SỐ LƯỢNG ]]*Table1[[#This Row],[ĐƠN GIÁ /1 KG]]</f>
        <v>5250000</v>
      </c>
      <c r="L119" s="50"/>
      <c r="M119" s="50"/>
      <c r="N119" s="50"/>
      <c r="O119" s="50"/>
      <c r="P119" s="50"/>
      <c r="Q119" s="50"/>
      <c r="R119" s="50"/>
      <c r="S119" s="50"/>
      <c r="T119" s="50"/>
      <c r="U119" s="50"/>
      <c r="V119" s="50"/>
      <c r="W119" s="50"/>
      <c r="X119" s="50"/>
      <c r="Y119" s="50"/>
      <c r="Z119" s="50">
        <v>1500</v>
      </c>
      <c r="AA119" s="50"/>
      <c r="AB119" s="50"/>
      <c r="AC119" s="50"/>
      <c r="AD119" s="50"/>
      <c r="AE119" s="50"/>
      <c r="AF119" s="50"/>
      <c r="AG119" s="50"/>
      <c r="AH119" s="50"/>
      <c r="AI119" s="50"/>
      <c r="AJ119" s="50"/>
      <c r="AK119" s="50"/>
      <c r="AL119" s="50"/>
      <c r="AM119" s="50"/>
      <c r="AN119" s="50"/>
      <c r="AO119" s="51">
        <f>Table1[[#This Row],[SỐ LƯỢNG ]]-SUM(Table1[[#This Row],[XK ĐỒNG TÂM]:[XK LSX 8]])</f>
        <v>0</v>
      </c>
      <c r="AP119" s="51">
        <f>Table1[[#This Row],[CÒN LẠI (gram)]]*Table1[[#This Row],[ĐƠN GIÁ /1 KG]]</f>
        <v>0</v>
      </c>
      <c r="AQ119" s="47" t="s">
        <v>255</v>
      </c>
      <c r="AR119" s="20"/>
      <c r="AS119" s="20"/>
      <c r="AT119" s="20"/>
      <c r="AU119" s="20"/>
    </row>
    <row r="120" spans="1:47" ht="21" customHeight="1" x14ac:dyDescent="0.35">
      <c r="A120" s="5">
        <v>117</v>
      </c>
      <c r="B120" s="47" t="s">
        <v>262</v>
      </c>
      <c r="C120" s="47" t="s">
        <v>264</v>
      </c>
      <c r="D120" s="48"/>
      <c r="E120" s="65" t="s">
        <v>260</v>
      </c>
      <c r="F120" s="49">
        <v>1500</v>
      </c>
      <c r="G120" s="72">
        <v>46011</v>
      </c>
      <c r="H120" s="69">
        <v>39</v>
      </c>
      <c r="I120" s="50"/>
      <c r="J120" s="50">
        <v>7700</v>
      </c>
      <c r="K120" s="16">
        <f>Table1[[#This Row],[SỐ LƯỢNG ]]*Table1[[#This Row],[ĐƠN GIÁ /1 KG]]</f>
        <v>11550000</v>
      </c>
      <c r="L120" s="50"/>
      <c r="M120" s="50"/>
      <c r="N120" s="50"/>
      <c r="O120" s="50"/>
      <c r="P120" s="50"/>
      <c r="Q120" s="50"/>
      <c r="R120" s="50"/>
      <c r="S120" s="50"/>
      <c r="T120" s="50"/>
      <c r="U120" s="50"/>
      <c r="V120" s="50"/>
      <c r="W120" s="50"/>
      <c r="X120" s="50"/>
      <c r="Y120" s="50"/>
      <c r="Z120" s="50">
        <v>1500</v>
      </c>
      <c r="AA120" s="50"/>
      <c r="AB120" s="50"/>
      <c r="AC120" s="50"/>
      <c r="AD120" s="50"/>
      <c r="AE120" s="50"/>
      <c r="AF120" s="50"/>
      <c r="AG120" s="50"/>
      <c r="AH120" s="50"/>
      <c r="AI120" s="50"/>
      <c r="AJ120" s="50"/>
      <c r="AK120" s="50"/>
      <c r="AL120" s="50"/>
      <c r="AM120" s="50"/>
      <c r="AN120" s="50"/>
      <c r="AO120" s="51">
        <f>Table1[[#This Row],[SỐ LƯỢNG ]]-SUM(Table1[[#This Row],[XK ĐỒNG TÂM]:[XK LSX 8]])</f>
        <v>0</v>
      </c>
      <c r="AP120" s="51">
        <f>Table1[[#This Row],[CÒN LẠI (gram)]]*Table1[[#This Row],[ĐƠN GIÁ /1 KG]]</f>
        <v>0</v>
      </c>
      <c r="AQ120" s="47" t="s">
        <v>255</v>
      </c>
      <c r="AR120" s="20"/>
      <c r="AS120" s="20"/>
      <c r="AT120" s="20"/>
      <c r="AU120" s="20"/>
    </row>
    <row r="121" spans="1:47" ht="16.5" customHeight="1" x14ac:dyDescent="0.35">
      <c r="A121" s="5">
        <v>118</v>
      </c>
      <c r="B121" s="47" t="s">
        <v>265</v>
      </c>
      <c r="C121" s="47"/>
      <c r="D121" s="48"/>
      <c r="E121" s="65" t="s">
        <v>266</v>
      </c>
      <c r="F121" s="49">
        <v>1200</v>
      </c>
      <c r="G121" s="72">
        <v>46011</v>
      </c>
      <c r="H121" s="69">
        <v>39</v>
      </c>
      <c r="I121" s="50"/>
      <c r="J121" s="50">
        <v>9300</v>
      </c>
      <c r="K121" s="16">
        <f>Table1[[#This Row],[SỐ LƯỢNG ]]*Table1[[#This Row],[ĐƠN GIÁ /1 KG]]</f>
        <v>11160000</v>
      </c>
      <c r="L121" s="50"/>
      <c r="M121" s="50"/>
      <c r="N121" s="50"/>
      <c r="O121" s="50"/>
      <c r="P121" s="50"/>
      <c r="Q121" s="50"/>
      <c r="R121" s="50"/>
      <c r="S121" s="50"/>
      <c r="T121" s="50"/>
      <c r="U121" s="50"/>
      <c r="V121" s="50"/>
      <c r="W121" s="50"/>
      <c r="X121" s="50"/>
      <c r="Y121" s="50"/>
      <c r="Z121" s="50"/>
      <c r="AA121" s="50">
        <v>1200</v>
      </c>
      <c r="AB121" s="50"/>
      <c r="AC121" s="50"/>
      <c r="AD121" s="50"/>
      <c r="AE121" s="50"/>
      <c r="AF121" s="50"/>
      <c r="AG121" s="50"/>
      <c r="AH121" s="50"/>
      <c r="AI121" s="50"/>
      <c r="AJ121" s="50"/>
      <c r="AK121" s="50"/>
      <c r="AL121" s="50"/>
      <c r="AM121" s="50"/>
      <c r="AN121" s="50"/>
      <c r="AO121" s="51">
        <f>Table1[[#This Row],[SỐ LƯỢNG ]]-SUM(Table1[[#This Row],[XK ĐỒNG TÂM]:[XK LSX 8]])</f>
        <v>0</v>
      </c>
      <c r="AP121" s="51">
        <f>Table1[[#This Row],[CÒN LẠI (gram)]]*Table1[[#This Row],[ĐƠN GIÁ /1 KG]]</f>
        <v>0</v>
      </c>
      <c r="AQ121" s="47" t="s">
        <v>255</v>
      </c>
      <c r="AR121" s="20"/>
      <c r="AS121" s="20"/>
      <c r="AT121" s="20"/>
      <c r="AU121" s="20"/>
    </row>
    <row r="122" spans="1:47" ht="28" customHeight="1" x14ac:dyDescent="0.35">
      <c r="A122" s="5">
        <v>119</v>
      </c>
      <c r="B122" s="47" t="s">
        <v>267</v>
      </c>
      <c r="C122" s="47"/>
      <c r="D122" s="48"/>
      <c r="E122" s="65" t="s">
        <v>266</v>
      </c>
      <c r="F122" s="49">
        <v>400</v>
      </c>
      <c r="G122" s="72">
        <v>46011</v>
      </c>
      <c r="H122" s="69">
        <v>41</v>
      </c>
      <c r="I122" s="50"/>
      <c r="J122" s="50">
        <v>4200</v>
      </c>
      <c r="K122" s="16">
        <f>Table1[[#This Row],[SỐ LƯỢNG ]]*Table1[[#This Row],[ĐƠN GIÁ /1 KG]]</f>
        <v>1680000</v>
      </c>
      <c r="L122" s="50"/>
      <c r="M122" s="50"/>
      <c r="N122" s="50"/>
      <c r="O122" s="50"/>
      <c r="P122" s="50"/>
      <c r="Q122" s="50"/>
      <c r="R122" s="50"/>
      <c r="S122" s="50"/>
      <c r="T122" s="50"/>
      <c r="U122" s="50"/>
      <c r="V122" s="50"/>
      <c r="W122" s="50"/>
      <c r="X122" s="50"/>
      <c r="Y122" s="50"/>
      <c r="Z122" s="50"/>
      <c r="AA122" s="50">
        <v>400</v>
      </c>
      <c r="AB122" s="50"/>
      <c r="AC122" s="50"/>
      <c r="AD122" s="50"/>
      <c r="AE122" s="50"/>
      <c r="AF122" s="50"/>
      <c r="AG122" s="50"/>
      <c r="AH122" s="50"/>
      <c r="AI122" s="50"/>
      <c r="AJ122" s="50"/>
      <c r="AK122" s="50"/>
      <c r="AL122" s="50"/>
      <c r="AM122" s="50"/>
      <c r="AN122" s="50"/>
      <c r="AO122" s="51">
        <f>Table1[[#This Row],[SỐ LƯỢNG ]]-SUM(Table1[[#This Row],[XK ĐỒNG TÂM]:[XK LSX 8]])</f>
        <v>0</v>
      </c>
      <c r="AP122" s="51">
        <f>Table1[[#This Row],[CÒN LẠI (gram)]]*Table1[[#This Row],[ĐƠN GIÁ /1 KG]]</f>
        <v>0</v>
      </c>
      <c r="AQ122" s="47" t="s">
        <v>210</v>
      </c>
      <c r="AR122" s="20"/>
      <c r="AS122" s="20"/>
      <c r="AT122" s="20"/>
      <c r="AU122" s="20"/>
    </row>
    <row r="123" spans="1:47" ht="28" customHeight="1" x14ac:dyDescent="0.35">
      <c r="A123" s="5">
        <v>120</v>
      </c>
      <c r="B123" s="47" t="s">
        <v>441</v>
      </c>
      <c r="C123" s="47"/>
      <c r="D123" s="48"/>
      <c r="E123" s="65" t="s">
        <v>266</v>
      </c>
      <c r="F123" s="49">
        <v>50</v>
      </c>
      <c r="G123" s="72">
        <v>46010</v>
      </c>
      <c r="H123" s="69">
        <v>65</v>
      </c>
      <c r="I123" s="50"/>
      <c r="J123" s="50">
        <v>950</v>
      </c>
      <c r="K123" s="16">
        <f>Table1[[#This Row],[SỐ LƯỢNG ]]*Table1[[#This Row],[ĐƠN GIÁ /1 KG]]</f>
        <v>47500</v>
      </c>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1">
        <f>Table1[[#This Row],[SỐ LƯỢNG ]]-SUM(Table1[[#This Row],[XK ĐỒNG TÂM]:[XK LSX 8]])</f>
        <v>50</v>
      </c>
      <c r="AP123" s="51">
        <f>Table1[[#This Row],[CÒN LẠI (gram)]]*Table1[[#This Row],[ĐƠN GIÁ /1 KG]]</f>
        <v>47500</v>
      </c>
      <c r="AQ123" s="47" t="s">
        <v>88</v>
      </c>
      <c r="AR123" s="20"/>
      <c r="AS123" s="20"/>
      <c r="AT123" s="20"/>
      <c r="AU123" s="20"/>
    </row>
    <row r="124" spans="1:47" ht="28" customHeight="1" x14ac:dyDescent="0.35">
      <c r="A124" s="5">
        <v>121</v>
      </c>
      <c r="B124" s="47" t="s">
        <v>442</v>
      </c>
      <c r="C124" s="47"/>
      <c r="D124" s="48"/>
      <c r="E124" s="65" t="s">
        <v>266</v>
      </c>
      <c r="F124" s="49">
        <v>4000</v>
      </c>
      <c r="G124" s="72">
        <v>46011</v>
      </c>
      <c r="H124" s="69">
        <v>40</v>
      </c>
      <c r="I124" s="50"/>
      <c r="J124" s="50">
        <v>3900</v>
      </c>
      <c r="K124" s="16">
        <f>Table1[[#This Row],[SỐ LƯỢNG ]]*Table1[[#This Row],[ĐƠN GIÁ /1 KG]]</f>
        <v>15600000</v>
      </c>
      <c r="L124" s="50"/>
      <c r="M124" s="50"/>
      <c r="N124" s="50"/>
      <c r="O124" s="50"/>
      <c r="P124" s="50"/>
      <c r="Q124" s="50"/>
      <c r="R124" s="50"/>
      <c r="S124" s="50"/>
      <c r="T124" s="50"/>
      <c r="U124" s="50">
        <v>2400</v>
      </c>
      <c r="V124" s="50"/>
      <c r="W124" s="50"/>
      <c r="X124" s="50"/>
      <c r="Y124" s="50"/>
      <c r="Z124" s="50"/>
      <c r="AA124" s="50"/>
      <c r="AB124" s="50"/>
      <c r="AC124" s="50"/>
      <c r="AD124" s="50"/>
      <c r="AE124" s="50"/>
      <c r="AF124" s="50"/>
      <c r="AG124" s="50"/>
      <c r="AH124" s="50"/>
      <c r="AI124" s="50"/>
      <c r="AJ124" s="50"/>
      <c r="AK124" s="50"/>
      <c r="AL124" s="50"/>
      <c r="AM124" s="50"/>
      <c r="AN124" s="50"/>
      <c r="AO124" s="51">
        <f>Table1[[#This Row],[SỐ LƯỢNG ]]-SUM(Table1[[#This Row],[XK ĐỒNG TÂM]:[XK LSX 8]])</f>
        <v>1600</v>
      </c>
      <c r="AP124" s="51">
        <f>Table1[[#This Row],[CÒN LẠI (gram)]]*Table1[[#This Row],[ĐƠN GIÁ /1 KG]]</f>
        <v>6240000</v>
      </c>
      <c r="AQ124" s="47" t="s">
        <v>255</v>
      </c>
      <c r="AR124" s="20"/>
      <c r="AS124" s="20"/>
      <c r="AT124" s="20"/>
      <c r="AU124" s="20"/>
    </row>
    <row r="125" spans="1:47" ht="28" customHeight="1" x14ac:dyDescent="0.35">
      <c r="A125" s="5">
        <v>122</v>
      </c>
      <c r="B125" s="66" t="s">
        <v>268</v>
      </c>
      <c r="C125" s="47"/>
      <c r="D125" s="48" t="s">
        <v>432</v>
      </c>
      <c r="E125" s="65" t="s">
        <v>17</v>
      </c>
      <c r="F125" s="49">
        <v>0.1</v>
      </c>
      <c r="G125" s="72">
        <v>46015</v>
      </c>
      <c r="H125" s="69">
        <v>3101</v>
      </c>
      <c r="I125" s="50">
        <f>Table1[[#This Row],[SỐ LƯỢNG ]]*1000</f>
        <v>100</v>
      </c>
      <c r="J125" s="50">
        <v>20000000</v>
      </c>
      <c r="K125" s="16">
        <f>Table1[[#This Row],[SỐ LƯỢNG ]]*Table1[[#This Row],[ĐƠN GIÁ /1 KG]]</f>
        <v>2000000</v>
      </c>
      <c r="L125" s="50"/>
      <c r="M125" s="50"/>
      <c r="N125" s="50"/>
      <c r="O125" s="50"/>
      <c r="P125" s="50"/>
      <c r="Q125" s="50"/>
      <c r="R125" s="50"/>
      <c r="S125" s="50"/>
      <c r="T125" s="50"/>
      <c r="U125" s="50"/>
      <c r="V125" s="50"/>
      <c r="W125" s="50"/>
      <c r="X125" s="50"/>
      <c r="Y125" s="50"/>
      <c r="Z125" s="50"/>
      <c r="AA125" s="50"/>
      <c r="AB125" s="50"/>
      <c r="AC125" s="50"/>
      <c r="AD125" s="50">
        <v>45</v>
      </c>
      <c r="AE125" s="50"/>
      <c r="AF125" s="50"/>
      <c r="AG125" s="50"/>
      <c r="AH125" s="50"/>
      <c r="AI125" s="50"/>
      <c r="AJ125" s="50"/>
      <c r="AK125" s="50"/>
      <c r="AL125" s="50"/>
      <c r="AM125" s="50"/>
      <c r="AN125" s="50"/>
      <c r="AO125" s="51">
        <f>Table1[[#This Row],[QUY ĐỔI GRAM]]-SUM(Table1[[#This Row],[XK ĐỒNG TÂM]:[XK LSX 8]])</f>
        <v>55</v>
      </c>
      <c r="AP125" s="51">
        <f>Table1[[#This Row],[CÒN LẠI (gram)]]*Table1[[#This Row],[ĐƠN GIÁ /1 KG]]/1000</f>
        <v>1100000</v>
      </c>
      <c r="AQ125" s="47" t="s">
        <v>269</v>
      </c>
      <c r="AR125" s="20"/>
      <c r="AS125" s="20"/>
      <c r="AT125" s="20"/>
      <c r="AU125" s="20"/>
    </row>
    <row r="126" spans="1:47" ht="28" customHeight="1" x14ac:dyDescent="0.35">
      <c r="A126" s="5">
        <v>123</v>
      </c>
      <c r="B126" s="47" t="s">
        <v>270</v>
      </c>
      <c r="C126" s="47"/>
      <c r="D126" s="48"/>
      <c r="E126" s="65" t="s">
        <v>24</v>
      </c>
      <c r="F126" s="49">
        <v>2000</v>
      </c>
      <c r="G126" s="72">
        <v>46017</v>
      </c>
      <c r="H126" s="69">
        <v>1509</v>
      </c>
      <c r="I126" s="50"/>
      <c r="J126" s="50">
        <v>4000</v>
      </c>
      <c r="K126" s="16">
        <f>Table1[[#This Row],[SỐ LƯỢNG ]]*Table1[[#This Row],[ĐƠN GIÁ /1 KG]]</f>
        <v>8000000</v>
      </c>
      <c r="L126" s="50"/>
      <c r="M126" s="50"/>
      <c r="N126" s="50"/>
      <c r="O126" s="50"/>
      <c r="P126" s="50"/>
      <c r="Q126" s="50"/>
      <c r="R126" s="50"/>
      <c r="S126" s="50"/>
      <c r="T126" s="50"/>
      <c r="U126" s="50"/>
      <c r="V126" s="50">
        <v>2000</v>
      </c>
      <c r="W126" s="50"/>
      <c r="X126" s="50"/>
      <c r="Y126" s="50"/>
      <c r="Z126" s="50"/>
      <c r="AA126" s="50"/>
      <c r="AB126" s="50"/>
      <c r="AC126" s="50"/>
      <c r="AD126" s="50"/>
      <c r="AE126" s="50"/>
      <c r="AF126" s="50"/>
      <c r="AG126" s="50"/>
      <c r="AH126" s="50"/>
      <c r="AI126" s="50"/>
      <c r="AJ126" s="50"/>
      <c r="AK126" s="50"/>
      <c r="AL126" s="50"/>
      <c r="AM126" s="50"/>
      <c r="AN126" s="50"/>
      <c r="AO126" s="51">
        <f>Table1[[#This Row],[SỐ LƯỢNG ]]-SUM(Table1[[#This Row],[XK ĐỒNG TÂM]:[XK LSX 8]])</f>
        <v>0</v>
      </c>
      <c r="AP126" s="51">
        <f>Table1[[#This Row],[CÒN LẠI (gram)]]*Table1[[#This Row],[ĐƠN GIÁ /1 KG]]</f>
        <v>0</v>
      </c>
      <c r="AQ126" s="47" t="s">
        <v>271</v>
      </c>
      <c r="AR126" s="20"/>
      <c r="AS126" s="20"/>
      <c r="AT126" s="20"/>
      <c r="AU126" s="20"/>
    </row>
    <row r="127" spans="1:47" ht="28" customHeight="1" x14ac:dyDescent="0.35">
      <c r="A127" s="5">
        <v>124</v>
      </c>
      <c r="B127" s="47" t="s">
        <v>272</v>
      </c>
      <c r="C127" s="47"/>
      <c r="D127" s="48"/>
      <c r="E127" s="65" t="s">
        <v>24</v>
      </c>
      <c r="F127" s="49">
        <v>1200</v>
      </c>
      <c r="G127" s="72">
        <v>46017</v>
      </c>
      <c r="H127" s="69">
        <v>1509</v>
      </c>
      <c r="I127" s="50"/>
      <c r="J127" s="50">
        <v>3500</v>
      </c>
      <c r="K127" s="16">
        <f>Table1[[#This Row],[SỐ LƯỢNG ]]*Table1[[#This Row],[ĐƠN GIÁ /1 KG]]</f>
        <v>4200000</v>
      </c>
      <c r="L127" s="50"/>
      <c r="M127" s="50"/>
      <c r="N127" s="50"/>
      <c r="O127" s="50"/>
      <c r="P127" s="50"/>
      <c r="Q127" s="50"/>
      <c r="R127" s="50"/>
      <c r="S127" s="50"/>
      <c r="T127" s="50"/>
      <c r="U127" s="50">
        <v>1200</v>
      </c>
      <c r="V127" s="50"/>
      <c r="W127" s="50"/>
      <c r="X127" s="50"/>
      <c r="Y127" s="50"/>
      <c r="Z127" s="50"/>
      <c r="AA127" s="50"/>
      <c r="AB127" s="50"/>
      <c r="AC127" s="50"/>
      <c r="AD127" s="50"/>
      <c r="AE127" s="50"/>
      <c r="AF127" s="50"/>
      <c r="AG127" s="50"/>
      <c r="AH127" s="50"/>
      <c r="AI127" s="50"/>
      <c r="AJ127" s="50"/>
      <c r="AK127" s="50"/>
      <c r="AL127" s="50"/>
      <c r="AM127" s="50"/>
      <c r="AN127" s="50"/>
      <c r="AO127" s="51">
        <f>Table1[[#This Row],[SỐ LƯỢNG ]]-SUM(Table1[[#This Row],[XK ĐỒNG TÂM]:[XK LSX 8]])</f>
        <v>0</v>
      </c>
      <c r="AP127" s="51">
        <f>Table1[[#This Row],[CÒN LẠI (gram)]]*Table1[[#This Row],[ĐƠN GIÁ /1 KG]]</f>
        <v>0</v>
      </c>
      <c r="AQ127" s="47" t="s">
        <v>271</v>
      </c>
      <c r="AR127" s="20"/>
      <c r="AS127" s="20"/>
      <c r="AT127" s="20"/>
      <c r="AU127" s="20"/>
    </row>
    <row r="128" spans="1:47" ht="28" customHeight="1" x14ac:dyDescent="0.35">
      <c r="A128" s="5">
        <v>125</v>
      </c>
      <c r="B128" s="47" t="s">
        <v>273</v>
      </c>
      <c r="C128" s="47"/>
      <c r="D128" s="48"/>
      <c r="E128" s="65" t="s">
        <v>274</v>
      </c>
      <c r="F128" s="49">
        <v>1200</v>
      </c>
      <c r="G128" s="72">
        <v>46017</v>
      </c>
      <c r="H128" s="69">
        <v>1509</v>
      </c>
      <c r="I128" s="50"/>
      <c r="J128" s="50">
        <v>4800</v>
      </c>
      <c r="K128" s="16">
        <f>Table1[[#This Row],[SỐ LƯỢNG ]]*Table1[[#This Row],[ĐƠN GIÁ /1 KG]]</f>
        <v>5760000</v>
      </c>
      <c r="L128" s="50"/>
      <c r="M128" s="50"/>
      <c r="N128" s="50"/>
      <c r="O128" s="50"/>
      <c r="P128" s="50"/>
      <c r="Q128" s="50"/>
      <c r="R128" s="50"/>
      <c r="S128" s="50"/>
      <c r="T128" s="50">
        <v>1200</v>
      </c>
      <c r="U128" s="50"/>
      <c r="V128" s="50"/>
      <c r="W128" s="50"/>
      <c r="X128" s="50"/>
      <c r="Y128" s="50"/>
      <c r="Z128" s="50"/>
      <c r="AA128" s="50"/>
      <c r="AB128" s="50"/>
      <c r="AC128" s="50"/>
      <c r="AD128" s="50"/>
      <c r="AE128" s="50"/>
      <c r="AF128" s="50"/>
      <c r="AG128" s="50"/>
      <c r="AH128" s="50"/>
      <c r="AI128" s="50"/>
      <c r="AJ128" s="50"/>
      <c r="AK128" s="50"/>
      <c r="AL128" s="50"/>
      <c r="AM128" s="50"/>
      <c r="AN128" s="50"/>
      <c r="AO128" s="51">
        <f>Table1[[#This Row],[SỐ LƯỢNG ]]-SUM(Table1[[#This Row],[XK ĐỒNG TÂM]:[XK LSX 8]])</f>
        <v>0</v>
      </c>
      <c r="AP128" s="51">
        <f>Table1[[#This Row],[CÒN LẠI (gram)]]*Table1[[#This Row],[ĐƠN GIÁ /1 KG]]</f>
        <v>0</v>
      </c>
      <c r="AQ128" s="47" t="s">
        <v>271</v>
      </c>
      <c r="AR128" s="20"/>
      <c r="AS128" s="20"/>
      <c r="AT128" s="20"/>
      <c r="AU128" s="20"/>
    </row>
    <row r="129" spans="1:47" ht="28" customHeight="1" x14ac:dyDescent="0.35">
      <c r="A129" s="5">
        <v>126</v>
      </c>
      <c r="B129" s="66" t="s">
        <v>276</v>
      </c>
      <c r="C129" s="84" t="s">
        <v>278</v>
      </c>
      <c r="D129" s="154" t="s">
        <v>277</v>
      </c>
      <c r="E129" s="65" t="s">
        <v>17</v>
      </c>
      <c r="F129" s="49">
        <v>4</v>
      </c>
      <c r="G129" s="72">
        <v>46017</v>
      </c>
      <c r="H129" s="69">
        <v>13629</v>
      </c>
      <c r="I129" s="50">
        <f>Table1[[#This Row],[SỐ LƯỢNG ]]*1000</f>
        <v>4000</v>
      </c>
      <c r="J129" s="50">
        <v>175000</v>
      </c>
      <c r="K129" s="16">
        <f>Table1[[#This Row],[SỐ LƯỢNG ]]*Table1[[#This Row],[ĐƠN GIÁ /1 KG]]</f>
        <v>700000</v>
      </c>
      <c r="L129" s="50"/>
      <c r="M129" s="50"/>
      <c r="N129" s="50"/>
      <c r="O129" s="50"/>
      <c r="P129" s="50"/>
      <c r="Q129" s="50"/>
      <c r="R129" s="50"/>
      <c r="S129" s="50"/>
      <c r="T129" s="50"/>
      <c r="U129" s="50">
        <v>100</v>
      </c>
      <c r="V129" s="50">
        <v>3000</v>
      </c>
      <c r="W129" s="50"/>
      <c r="X129" s="50"/>
      <c r="Y129" s="50"/>
      <c r="Z129" s="50">
        <v>600</v>
      </c>
      <c r="AA129" s="50"/>
      <c r="AB129" s="50"/>
      <c r="AC129" s="50"/>
      <c r="AD129" s="50">
        <v>75</v>
      </c>
      <c r="AE129" s="50"/>
      <c r="AF129" s="50"/>
      <c r="AG129" s="50"/>
      <c r="AH129" s="50">
        <v>225</v>
      </c>
      <c r="AI129" s="50"/>
      <c r="AJ129" s="50"/>
      <c r="AK129" s="50"/>
      <c r="AL129" s="50"/>
      <c r="AM129" s="50"/>
      <c r="AN129" s="50"/>
      <c r="AO129" s="51">
        <f>Table1[[#This Row],[QUY ĐỔI GRAM]]-SUM(Table1[[#This Row],[XK ĐỒNG TÂM]:[XK LSX 8]])</f>
        <v>0</v>
      </c>
      <c r="AP129" s="51">
        <f>Table1[[#This Row],[CÒN LẠI (gram)]]*Table1[[#This Row],[ĐƠN GIÁ /1 KG]]/1000</f>
        <v>0</v>
      </c>
      <c r="AQ129" s="3" t="s">
        <v>39</v>
      </c>
      <c r="AR129" s="20"/>
      <c r="AS129" s="20"/>
      <c r="AT129" s="20"/>
      <c r="AU129" s="20"/>
    </row>
    <row r="130" spans="1:47" ht="28" customHeight="1" x14ac:dyDescent="0.35">
      <c r="A130" s="5">
        <v>127</v>
      </c>
      <c r="B130" s="66" t="s">
        <v>279</v>
      </c>
      <c r="C130" s="84" t="s">
        <v>281</v>
      </c>
      <c r="D130" s="155" t="s">
        <v>280</v>
      </c>
      <c r="E130" s="65" t="s">
        <v>17</v>
      </c>
      <c r="F130" s="49">
        <v>1</v>
      </c>
      <c r="G130" s="72">
        <v>46017</v>
      </c>
      <c r="H130" s="69">
        <v>13629</v>
      </c>
      <c r="I130" s="50">
        <f>Table1[[#This Row],[SỐ LƯỢNG ]]*1000</f>
        <v>1000</v>
      </c>
      <c r="J130" s="50">
        <v>530000</v>
      </c>
      <c r="K130" s="16">
        <f>Table1[[#This Row],[SỐ LƯỢNG ]]*Table1[[#This Row],[ĐƠN GIÁ /1 KG]]</f>
        <v>530000</v>
      </c>
      <c r="L130" s="50"/>
      <c r="M130" s="50"/>
      <c r="N130" s="50"/>
      <c r="O130" s="50"/>
      <c r="P130" s="50"/>
      <c r="Q130" s="50"/>
      <c r="R130" s="50"/>
      <c r="S130" s="50"/>
      <c r="T130" s="50"/>
      <c r="U130" s="50"/>
      <c r="V130" s="50"/>
      <c r="W130" s="50"/>
      <c r="X130" s="50"/>
      <c r="Y130" s="50"/>
      <c r="Z130" s="50"/>
      <c r="AA130" s="50"/>
      <c r="AB130" s="50"/>
      <c r="AC130" s="112">
        <v>255.75</v>
      </c>
      <c r="AD130" s="112"/>
      <c r="AE130" s="112"/>
      <c r="AF130" s="112"/>
      <c r="AG130" s="112"/>
      <c r="AH130" s="112"/>
      <c r="AI130" s="112"/>
      <c r="AJ130" s="112"/>
      <c r="AK130" s="112"/>
      <c r="AL130" s="112"/>
      <c r="AM130" s="112"/>
      <c r="AN130" s="50"/>
      <c r="AO130" s="51">
        <f>Table1[[#This Row],[QUY ĐỔI GRAM]]-SUM(Table1[[#This Row],[XK ĐỒNG TÂM]:[XK LSX 8]])</f>
        <v>744.25</v>
      </c>
      <c r="AP130" s="51">
        <f>Table1[[#This Row],[CÒN LẠI (gram)]]*Table1[[#This Row],[ĐƠN GIÁ /1 KG]]/1000</f>
        <v>394452.5</v>
      </c>
      <c r="AQ130" s="3" t="s">
        <v>39</v>
      </c>
      <c r="AR130" s="20"/>
      <c r="AS130" s="20"/>
      <c r="AT130" s="20"/>
      <c r="AU130" s="20"/>
    </row>
    <row r="131" spans="1:47" ht="28" customHeight="1" x14ac:dyDescent="0.35">
      <c r="A131" s="5">
        <v>128</v>
      </c>
      <c r="B131" s="66" t="s">
        <v>282</v>
      </c>
      <c r="C131" s="86" t="s">
        <v>284</v>
      </c>
      <c r="D131" s="3" t="s">
        <v>283</v>
      </c>
      <c r="E131" s="65" t="s">
        <v>17</v>
      </c>
      <c r="F131" s="49">
        <v>1</v>
      </c>
      <c r="G131" s="72">
        <v>46017</v>
      </c>
      <c r="H131" s="69">
        <v>13629</v>
      </c>
      <c r="I131" s="50">
        <f>Table1[[#This Row],[SỐ LƯỢNG ]]*1000</f>
        <v>1000</v>
      </c>
      <c r="J131" s="50">
        <v>500000</v>
      </c>
      <c r="K131" s="16">
        <f>Table1[[#This Row],[SỐ LƯỢNG ]]*Table1[[#This Row],[ĐƠN GIÁ /1 KG]]</f>
        <v>500000</v>
      </c>
      <c r="L131" s="50"/>
      <c r="M131" s="50"/>
      <c r="N131" s="50"/>
      <c r="O131" s="50"/>
      <c r="P131" s="50"/>
      <c r="Q131" s="50"/>
      <c r="R131" s="50"/>
      <c r="S131" s="50"/>
      <c r="T131" s="50"/>
      <c r="U131" s="50"/>
      <c r="V131" s="50"/>
      <c r="W131" s="50">
        <v>20.059999999999999</v>
      </c>
      <c r="X131" s="50"/>
      <c r="Y131" s="50">
        <v>10.045</v>
      </c>
      <c r="Z131" s="50"/>
      <c r="AA131" s="50"/>
      <c r="AB131" s="50"/>
      <c r="AC131" s="50"/>
      <c r="AD131" s="50"/>
      <c r="AE131" s="50"/>
      <c r="AF131" s="50"/>
      <c r="AG131" s="50"/>
      <c r="AH131" s="50"/>
      <c r="AI131" s="50"/>
      <c r="AJ131" s="50"/>
      <c r="AK131" s="50"/>
      <c r="AL131" s="50"/>
      <c r="AM131" s="50"/>
      <c r="AN131" s="50"/>
      <c r="AO131" s="51">
        <f>Table1[[#This Row],[QUY ĐỔI GRAM]]-SUM(Table1[[#This Row],[XK ĐỒNG TÂM]:[XK LSX 8]])</f>
        <v>969.89499999999998</v>
      </c>
      <c r="AP131" s="51">
        <f>Table1[[#This Row],[CÒN LẠI (gram)]]*Table1[[#This Row],[ĐƠN GIÁ /1 KG]]/1000</f>
        <v>484947.5</v>
      </c>
      <c r="AQ131" s="3" t="s">
        <v>39</v>
      </c>
      <c r="AR131" s="20"/>
      <c r="AS131" s="20"/>
      <c r="AT131" s="20"/>
      <c r="AU131" s="20"/>
    </row>
    <row r="132" spans="1:47" ht="28" customHeight="1" x14ac:dyDescent="0.35">
      <c r="A132" s="5">
        <v>129</v>
      </c>
      <c r="B132" s="66" t="s">
        <v>285</v>
      </c>
      <c r="C132" s="86"/>
      <c r="D132" s="203"/>
      <c r="E132" s="65" t="s">
        <v>17</v>
      </c>
      <c r="F132" s="49">
        <v>3</v>
      </c>
      <c r="G132" s="72">
        <v>46018</v>
      </c>
      <c r="H132" s="69">
        <v>101</v>
      </c>
      <c r="I132" s="50">
        <f>Table1[[#This Row],[SỐ LƯỢNG ]]*1000</f>
        <v>3000</v>
      </c>
      <c r="J132" s="50">
        <v>260000</v>
      </c>
      <c r="K132" s="16">
        <f>Table1[[#This Row],[SỐ LƯỢNG ]]*Table1[[#This Row],[ĐƠN GIÁ /1 KG]]</f>
        <v>780000</v>
      </c>
      <c r="L132" s="50"/>
      <c r="M132" s="50"/>
      <c r="N132" s="50"/>
      <c r="O132" s="50"/>
      <c r="P132" s="50"/>
      <c r="Q132" s="50"/>
      <c r="R132" s="50"/>
      <c r="S132" s="50"/>
      <c r="T132" s="50"/>
      <c r="U132" s="50"/>
      <c r="V132" s="50">
        <v>3000</v>
      </c>
      <c r="W132" s="50"/>
      <c r="X132" s="50"/>
      <c r="Y132" s="50"/>
      <c r="Z132" s="50"/>
      <c r="AA132" s="50"/>
      <c r="AB132" s="50"/>
      <c r="AC132" s="50"/>
      <c r="AD132" s="50"/>
      <c r="AE132" s="50"/>
      <c r="AF132" s="50"/>
      <c r="AG132" s="50"/>
      <c r="AH132" s="50"/>
      <c r="AI132" s="50"/>
      <c r="AJ132" s="50"/>
      <c r="AK132" s="50"/>
      <c r="AL132" s="50"/>
      <c r="AM132" s="50"/>
      <c r="AN132" s="50"/>
      <c r="AO132" s="51">
        <f>Table1[[#This Row],[QUY ĐỔI GRAM]]-SUM(Table1[[#This Row],[XK ĐỒNG TÂM]:[XK LSX 8]])</f>
        <v>0</v>
      </c>
      <c r="AP132" s="51">
        <f>Table1[[#This Row],[CÒN LẠI (gram)]]*Table1[[#This Row],[ĐƠN GIÁ /1 KG]]/1000</f>
        <v>0</v>
      </c>
      <c r="AQ132" s="88" t="s">
        <v>218</v>
      </c>
      <c r="AR132" s="20"/>
      <c r="AS132" s="20"/>
      <c r="AT132" s="20"/>
      <c r="AU132" s="20"/>
    </row>
    <row r="133" spans="1:47" ht="28" customHeight="1" x14ac:dyDescent="0.35">
      <c r="A133" s="5">
        <v>130</v>
      </c>
      <c r="B133" s="66" t="s">
        <v>286</v>
      </c>
      <c r="C133" s="86" t="s">
        <v>287</v>
      </c>
      <c r="D133" s="156" t="s">
        <v>257</v>
      </c>
      <c r="E133" s="65" t="s">
        <v>17</v>
      </c>
      <c r="F133" s="49">
        <v>1</v>
      </c>
      <c r="G133" s="72">
        <v>46018</v>
      </c>
      <c r="H133" s="69">
        <v>101</v>
      </c>
      <c r="I133" s="50">
        <f>Table1[[#This Row],[SỐ LƯỢNG ]]*1000</f>
        <v>1000</v>
      </c>
      <c r="J133" s="50">
        <v>70000</v>
      </c>
      <c r="K133" s="16">
        <f>Table1[[#This Row],[SỐ LƯỢNG ]]*Table1[[#This Row],[ĐƠN GIÁ /1 KG]]</f>
        <v>70000</v>
      </c>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1">
        <f>Table1[[#This Row],[QUY ĐỔI GRAM]]-SUM(Table1[[#This Row],[XK ĐỒNG TÂM]:[XK LSX 8]])</f>
        <v>1000</v>
      </c>
      <c r="AP133" s="51">
        <f>Table1[[#This Row],[CÒN LẠI (gram)]]*Table1[[#This Row],[ĐƠN GIÁ /1 KG]]/1000</f>
        <v>70000</v>
      </c>
      <c r="AQ133" s="88" t="s">
        <v>218</v>
      </c>
      <c r="AR133" s="20"/>
      <c r="AS133" s="20"/>
      <c r="AT133" s="20"/>
      <c r="AU133" s="20"/>
    </row>
    <row r="134" spans="1:47" ht="28" customHeight="1" x14ac:dyDescent="0.35">
      <c r="A134" s="5">
        <v>131</v>
      </c>
      <c r="B134" s="66" t="s">
        <v>288</v>
      </c>
      <c r="C134" s="86"/>
      <c r="D134" s="202"/>
      <c r="E134" s="65" t="s">
        <v>17</v>
      </c>
      <c r="F134" s="49">
        <v>60</v>
      </c>
      <c r="G134" s="72">
        <v>46018</v>
      </c>
      <c r="H134" s="69">
        <v>101</v>
      </c>
      <c r="I134" s="50">
        <f>Table1[[#This Row],[SỐ LƯỢNG ]]*1000</f>
        <v>60000</v>
      </c>
      <c r="J134" s="50">
        <v>110000</v>
      </c>
      <c r="K134" s="16">
        <f>Table1[[#This Row],[SỐ LƯỢNG ]]*Table1[[#This Row],[ĐƠN GIÁ /1 KG]]</f>
        <v>6600000</v>
      </c>
      <c r="L134" s="50"/>
      <c r="M134" s="50"/>
      <c r="N134" s="50"/>
      <c r="O134" s="50"/>
      <c r="P134" s="50"/>
      <c r="Q134" s="50"/>
      <c r="R134" s="50"/>
      <c r="S134" s="50"/>
      <c r="T134" s="50"/>
      <c r="U134" s="50"/>
      <c r="V134" s="50"/>
      <c r="W134" s="50"/>
      <c r="X134" s="50">
        <v>30000</v>
      </c>
      <c r="Y134" s="50"/>
      <c r="Z134" s="50"/>
      <c r="AA134" s="50"/>
      <c r="AB134" s="50">
        <v>3591.0000000000005</v>
      </c>
      <c r="AC134" s="49">
        <v>3580.5</v>
      </c>
      <c r="AD134" s="49"/>
      <c r="AE134" s="49"/>
      <c r="AF134" s="49"/>
      <c r="AG134" s="49"/>
      <c r="AH134" s="49"/>
      <c r="AI134" s="49"/>
      <c r="AJ134" s="49"/>
      <c r="AK134" s="49"/>
      <c r="AL134" s="49"/>
      <c r="AM134" s="49"/>
      <c r="AN134" s="50"/>
      <c r="AO134" s="51">
        <f>Table1[[#This Row],[QUY ĐỔI GRAM]]-SUM(Table1[[#This Row],[XK ĐỒNG TÂM]:[XK LSX 8]])</f>
        <v>22828.5</v>
      </c>
      <c r="AP134" s="51">
        <f>Table1[[#This Row],[CÒN LẠI (gram)]]*Table1[[#This Row],[ĐƠN GIÁ /1 KG]]/1000</f>
        <v>2511135</v>
      </c>
      <c r="AQ134" s="88" t="s">
        <v>218</v>
      </c>
      <c r="AR134" s="20"/>
      <c r="AS134" s="20"/>
      <c r="AT134" s="20"/>
      <c r="AU134" s="20"/>
    </row>
    <row r="135" spans="1:47" ht="28" customHeight="1" x14ac:dyDescent="0.35">
      <c r="A135" s="5">
        <v>132</v>
      </c>
      <c r="B135" s="66" t="s">
        <v>289</v>
      </c>
      <c r="C135" s="86" t="s">
        <v>73</v>
      </c>
      <c r="D135" s="86" t="s">
        <v>73</v>
      </c>
      <c r="E135" s="65" t="s">
        <v>17</v>
      </c>
      <c r="F135" s="49">
        <v>50</v>
      </c>
      <c r="G135" s="72">
        <v>46018</v>
      </c>
      <c r="H135" s="69">
        <v>101</v>
      </c>
      <c r="I135" s="50">
        <f>Table1[[#This Row],[SỐ LƯỢNG ]]*1000</f>
        <v>50000</v>
      </c>
      <c r="J135" s="50">
        <v>33000</v>
      </c>
      <c r="K135" s="16">
        <f>Table1[[#This Row],[SỐ LƯỢNG ]]*Table1[[#This Row],[ĐƠN GIÁ /1 KG]]</f>
        <v>1650000</v>
      </c>
      <c r="L135" s="50"/>
      <c r="M135" s="50"/>
      <c r="N135" s="50"/>
      <c r="O135" s="50"/>
      <c r="P135" s="50"/>
      <c r="Q135" s="50"/>
      <c r="R135" s="50"/>
      <c r="S135" s="50"/>
      <c r="T135" s="50"/>
      <c r="U135" s="50"/>
      <c r="V135" s="50"/>
      <c r="W135" s="50"/>
      <c r="X135" s="50">
        <v>30000</v>
      </c>
      <c r="Y135" s="50"/>
      <c r="Z135" s="50">
        <v>16575</v>
      </c>
      <c r="AA135" s="50"/>
      <c r="AB135" s="50"/>
      <c r="AC135" s="50">
        <v>115</v>
      </c>
      <c r="AD135" s="50">
        <v>1500</v>
      </c>
      <c r="AE135" s="50">
        <v>1810</v>
      </c>
      <c r="AF135" s="50"/>
      <c r="AG135" s="50"/>
      <c r="AH135" s="50"/>
      <c r="AI135" s="50"/>
      <c r="AJ135" s="50"/>
      <c r="AK135" s="50"/>
      <c r="AL135" s="50"/>
      <c r="AM135" s="50"/>
      <c r="AN135" s="50"/>
      <c r="AO135" s="51">
        <f>Table1[[#This Row],[QUY ĐỔI GRAM]]-SUM(Table1[[#This Row],[XK ĐỒNG TÂM]:[XK LSX 8]])</f>
        <v>0</v>
      </c>
      <c r="AP135" s="51">
        <f>Table1[[#This Row],[CÒN LẠI (gram)]]*Table1[[#This Row],[ĐƠN GIÁ /1 KG]]/1000</f>
        <v>0</v>
      </c>
      <c r="AQ135" s="88" t="s">
        <v>218</v>
      </c>
      <c r="AR135" s="20"/>
      <c r="AS135" s="20"/>
      <c r="AT135" s="20"/>
      <c r="AU135" s="20"/>
    </row>
    <row r="136" spans="1:47" ht="28" customHeight="1" x14ac:dyDescent="0.35">
      <c r="A136" s="5">
        <v>133</v>
      </c>
      <c r="B136" s="66" t="s">
        <v>290</v>
      </c>
      <c r="C136" s="86" t="s">
        <v>164</v>
      </c>
      <c r="D136" s="87" t="s">
        <v>165</v>
      </c>
      <c r="E136" s="65" t="s">
        <v>17</v>
      </c>
      <c r="F136" s="49">
        <v>50</v>
      </c>
      <c r="G136" s="72">
        <v>46018</v>
      </c>
      <c r="H136" s="69">
        <v>101</v>
      </c>
      <c r="I136" s="50">
        <f>Table1[[#This Row],[SỐ LƯỢNG ]]*1000</f>
        <v>50000</v>
      </c>
      <c r="J136" s="50">
        <v>220000</v>
      </c>
      <c r="K136" s="16">
        <f>Table1[[#This Row],[SỐ LƯỢNG ]]*Table1[[#This Row],[ĐƠN GIÁ /1 KG]]</f>
        <v>11000000</v>
      </c>
      <c r="L136" s="50"/>
      <c r="M136" s="50"/>
      <c r="N136" s="50"/>
      <c r="O136" s="50"/>
      <c r="P136" s="50"/>
      <c r="Q136" s="50"/>
      <c r="R136" s="50"/>
      <c r="S136" s="50"/>
      <c r="T136" s="50"/>
      <c r="U136" s="50"/>
      <c r="V136" s="50"/>
      <c r="W136" s="50"/>
      <c r="X136" s="50">
        <v>30000</v>
      </c>
      <c r="Y136" s="50"/>
      <c r="Z136" s="50">
        <v>18000</v>
      </c>
      <c r="AA136" s="50"/>
      <c r="AB136" s="50"/>
      <c r="AC136" s="50"/>
      <c r="AD136" s="50"/>
      <c r="AE136" s="50"/>
      <c r="AF136" s="50"/>
      <c r="AG136" s="50"/>
      <c r="AH136" s="50"/>
      <c r="AI136" s="50"/>
      <c r="AJ136" s="50"/>
      <c r="AK136" s="50"/>
      <c r="AL136" s="50"/>
      <c r="AM136" s="50"/>
      <c r="AN136" s="50"/>
      <c r="AO136" s="51">
        <f>Table1[[#This Row],[QUY ĐỔI GRAM]]-SUM(Table1[[#This Row],[XK ĐỒNG TÂM]:[XK LSX 8]])</f>
        <v>2000</v>
      </c>
      <c r="AP136" s="51">
        <f>Table1[[#This Row],[CÒN LẠI (gram)]]*Table1[[#This Row],[ĐƠN GIÁ /1 KG]]/1000</f>
        <v>440000</v>
      </c>
      <c r="AQ136" s="88" t="s">
        <v>218</v>
      </c>
      <c r="AR136" s="20"/>
      <c r="AS136" s="20"/>
      <c r="AT136" s="20"/>
      <c r="AU136" s="20"/>
    </row>
    <row r="137" spans="1:47" ht="28" customHeight="1" x14ac:dyDescent="0.35">
      <c r="A137" s="5">
        <v>134</v>
      </c>
      <c r="B137" s="66" t="s">
        <v>291</v>
      </c>
      <c r="C137" s="86" t="s">
        <v>60</v>
      </c>
      <c r="D137" s="87" t="s">
        <v>292</v>
      </c>
      <c r="E137" s="65" t="s">
        <v>17</v>
      </c>
      <c r="F137" s="49">
        <v>20</v>
      </c>
      <c r="G137" s="72">
        <v>46018</v>
      </c>
      <c r="H137" s="69">
        <v>101</v>
      </c>
      <c r="I137" s="50">
        <f>Table1[[#This Row],[SỐ LƯỢNG ]]*1000</f>
        <v>20000</v>
      </c>
      <c r="J137" s="50">
        <v>800000</v>
      </c>
      <c r="K137" s="16">
        <f>Table1[[#This Row],[SỐ LƯỢNG ]]*Table1[[#This Row],[ĐƠN GIÁ /1 KG]]</f>
        <v>16000000</v>
      </c>
      <c r="L137" s="50"/>
      <c r="M137" s="50"/>
      <c r="N137" s="50"/>
      <c r="O137" s="50"/>
      <c r="P137" s="50"/>
      <c r="Q137" s="50"/>
      <c r="R137" s="50"/>
      <c r="S137" s="50"/>
      <c r="T137" s="50"/>
      <c r="U137" s="50"/>
      <c r="V137" s="50"/>
      <c r="W137" s="50"/>
      <c r="X137" s="50"/>
      <c r="Y137" s="50"/>
      <c r="Z137" s="50">
        <v>9000</v>
      </c>
      <c r="AA137" s="50"/>
      <c r="AB137" s="50"/>
      <c r="AC137" s="50"/>
      <c r="AD137" s="50"/>
      <c r="AE137" s="50"/>
      <c r="AF137" s="50"/>
      <c r="AG137" s="50"/>
      <c r="AH137" s="50">
        <v>11000</v>
      </c>
      <c r="AI137" s="50"/>
      <c r="AJ137" s="50"/>
      <c r="AK137" s="50"/>
      <c r="AL137" s="50"/>
      <c r="AM137" s="50"/>
      <c r="AN137" s="50"/>
      <c r="AO137" s="51">
        <f>Table1[[#This Row],[QUY ĐỔI GRAM]]-SUM(Table1[[#This Row],[XK ĐỒNG TÂM]:[XK LSX 8]])</f>
        <v>0</v>
      </c>
      <c r="AP137" s="51">
        <f>Table1[[#This Row],[CÒN LẠI (gram)]]*Table1[[#This Row],[ĐƠN GIÁ /1 KG]]/1000</f>
        <v>0</v>
      </c>
      <c r="AQ137" s="88" t="s">
        <v>218</v>
      </c>
      <c r="AR137" s="20"/>
      <c r="AS137" s="20"/>
      <c r="AT137" s="20"/>
      <c r="AU137" s="20"/>
    </row>
    <row r="138" spans="1:47" ht="28" customHeight="1" x14ac:dyDescent="0.35">
      <c r="A138" s="5">
        <v>135</v>
      </c>
      <c r="B138" s="66" t="s">
        <v>293</v>
      </c>
      <c r="C138" s="86"/>
      <c r="D138" s="202"/>
      <c r="E138" s="65" t="s">
        <v>17</v>
      </c>
      <c r="F138" s="49">
        <v>20</v>
      </c>
      <c r="G138" s="72">
        <v>46018</v>
      </c>
      <c r="H138" s="69">
        <v>101</v>
      </c>
      <c r="I138" s="50">
        <f>Table1[[#This Row],[SỐ LƯỢNG ]]*1000</f>
        <v>20000</v>
      </c>
      <c r="J138" s="50">
        <v>330000</v>
      </c>
      <c r="K138" s="16">
        <f>Table1[[#This Row],[SỐ LƯỢNG ]]*Table1[[#This Row],[ĐƠN GIÁ /1 KG]]</f>
        <v>6600000</v>
      </c>
      <c r="L138" s="50"/>
      <c r="M138" s="50"/>
      <c r="N138" s="50"/>
      <c r="O138" s="50"/>
      <c r="P138" s="50"/>
      <c r="Q138" s="50"/>
      <c r="R138" s="50"/>
      <c r="S138" s="50"/>
      <c r="T138" s="50"/>
      <c r="U138" s="50"/>
      <c r="V138" s="50">
        <v>3000</v>
      </c>
      <c r="W138" s="50"/>
      <c r="X138" s="50">
        <v>15000</v>
      </c>
      <c r="Y138" s="50"/>
      <c r="Z138" s="50"/>
      <c r="AA138" s="50"/>
      <c r="AB138" s="50"/>
      <c r="AC138" s="50"/>
      <c r="AD138" s="50"/>
      <c r="AE138" s="50"/>
      <c r="AF138" s="50"/>
      <c r="AG138" s="50"/>
      <c r="AH138" s="50"/>
      <c r="AI138" s="50"/>
      <c r="AJ138" s="50"/>
      <c r="AK138" s="50"/>
      <c r="AL138" s="50"/>
      <c r="AM138" s="50"/>
      <c r="AN138" s="50"/>
      <c r="AO138" s="51">
        <f>Table1[[#This Row],[QUY ĐỔI GRAM]]-SUM(Table1[[#This Row],[XK ĐỒNG TÂM]:[XK LSX 8]])</f>
        <v>2000</v>
      </c>
      <c r="AP138" s="51">
        <f>Table1[[#This Row],[CÒN LẠI (gram)]]*Table1[[#This Row],[ĐƠN GIÁ /1 KG]]/1000</f>
        <v>660000</v>
      </c>
      <c r="AQ138" s="88" t="s">
        <v>218</v>
      </c>
      <c r="AR138" s="20"/>
      <c r="AS138" s="20"/>
      <c r="AT138" s="20"/>
      <c r="AU138" s="20"/>
    </row>
    <row r="139" spans="1:47" ht="28" customHeight="1" x14ac:dyDescent="0.35">
      <c r="A139" s="5">
        <v>136</v>
      </c>
      <c r="B139" s="66" t="s">
        <v>294</v>
      </c>
      <c r="C139" s="86"/>
      <c r="D139" s="8" t="s">
        <v>416</v>
      </c>
      <c r="E139" s="65" t="s">
        <v>17</v>
      </c>
      <c r="F139" s="49">
        <v>10</v>
      </c>
      <c r="G139" s="72">
        <v>46018</v>
      </c>
      <c r="H139" s="69">
        <v>101</v>
      </c>
      <c r="I139" s="50">
        <f>Table1[[#This Row],[SỐ LƯỢNG ]]*1000</f>
        <v>10000</v>
      </c>
      <c r="J139" s="50">
        <v>800000</v>
      </c>
      <c r="K139" s="16">
        <f>Table1[[#This Row],[SỐ LƯỢNG ]]*Table1[[#This Row],[ĐƠN GIÁ /1 KG]]</f>
        <v>8000000</v>
      </c>
      <c r="L139" s="50"/>
      <c r="M139" s="50"/>
      <c r="N139" s="50"/>
      <c r="O139" s="50"/>
      <c r="P139" s="50"/>
      <c r="Q139" s="50"/>
      <c r="R139" s="50"/>
      <c r="S139" s="50"/>
      <c r="T139" s="50"/>
      <c r="U139" s="50"/>
      <c r="V139" s="50"/>
      <c r="W139" s="50"/>
      <c r="X139" s="50"/>
      <c r="Y139" s="50"/>
      <c r="Z139" s="50">
        <v>9000</v>
      </c>
      <c r="AA139" s="50"/>
      <c r="AB139" s="50"/>
      <c r="AC139" s="50"/>
      <c r="AD139" s="50"/>
      <c r="AE139" s="50"/>
      <c r="AF139" s="50"/>
      <c r="AG139" s="50">
        <v>1000</v>
      </c>
      <c r="AH139" s="50"/>
      <c r="AI139" s="50"/>
      <c r="AJ139" s="50"/>
      <c r="AK139" s="50"/>
      <c r="AL139" s="50"/>
      <c r="AM139" s="50"/>
      <c r="AN139" s="50"/>
      <c r="AO139" s="51">
        <f>Table1[[#This Row],[QUY ĐỔI GRAM]]-SUM(Table1[[#This Row],[XK ĐỒNG TÂM]:[XK LSX 8]])</f>
        <v>0</v>
      </c>
      <c r="AP139" s="51">
        <f>Table1[[#This Row],[CÒN LẠI (gram)]]*Table1[[#This Row],[ĐƠN GIÁ /1 KG]]/1000</f>
        <v>0</v>
      </c>
      <c r="AQ139" s="88" t="s">
        <v>218</v>
      </c>
      <c r="AR139" s="20"/>
      <c r="AS139" s="20"/>
      <c r="AT139" s="20"/>
      <c r="AU139" s="20"/>
    </row>
    <row r="140" spans="1:47" ht="28" customHeight="1" x14ac:dyDescent="0.35">
      <c r="A140" s="5">
        <v>137</v>
      </c>
      <c r="B140" s="66" t="s">
        <v>295</v>
      </c>
      <c r="C140" s="86"/>
      <c r="D140" s="8" t="s">
        <v>93</v>
      </c>
      <c r="E140" s="65" t="s">
        <v>17</v>
      </c>
      <c r="F140" s="49">
        <v>0.6</v>
      </c>
      <c r="G140" s="72">
        <v>46018</v>
      </c>
      <c r="H140" s="69">
        <v>102</v>
      </c>
      <c r="I140" s="50">
        <f>Table1[[#This Row],[SỐ LƯỢNG ]]*1000</f>
        <v>600</v>
      </c>
      <c r="J140" s="50">
        <v>33000000</v>
      </c>
      <c r="K140" s="16">
        <f>Table1[[#This Row],[SỐ LƯỢNG ]]*Table1[[#This Row],[ĐƠN GIÁ /1 KG]]</f>
        <v>19800000</v>
      </c>
      <c r="L140" s="50"/>
      <c r="M140" s="50"/>
      <c r="N140" s="50"/>
      <c r="O140" s="50"/>
      <c r="P140" s="50"/>
      <c r="Q140" s="50"/>
      <c r="R140" s="50"/>
      <c r="S140" s="50">
        <v>120</v>
      </c>
      <c r="T140" s="50">
        <v>20</v>
      </c>
      <c r="U140" s="50"/>
      <c r="V140" s="50"/>
      <c r="W140" s="50"/>
      <c r="X140" s="50">
        <v>30</v>
      </c>
      <c r="Y140" s="50"/>
      <c r="Z140" s="50">
        <v>60.000000000000007</v>
      </c>
      <c r="AA140" s="50"/>
      <c r="AB140" s="50"/>
      <c r="AC140" s="112">
        <v>33.450000000000003</v>
      </c>
      <c r="AD140" s="112"/>
      <c r="AE140" s="112">
        <v>20.260000000000002</v>
      </c>
      <c r="AF140" s="112"/>
      <c r="AG140" s="112"/>
      <c r="AH140" s="112"/>
      <c r="AI140" s="112"/>
      <c r="AJ140" s="112"/>
      <c r="AK140" s="112"/>
      <c r="AL140" s="112"/>
      <c r="AM140" s="112"/>
      <c r="AN140" s="50"/>
      <c r="AO140" s="121">
        <f>Table1[[#This Row],[QUY ĐỔI GRAM]]-SUM(Table1[[#This Row],[XK ĐỒNG TÂM]:[XK LSX 8]])</f>
        <v>316.29000000000002</v>
      </c>
      <c r="AP140" s="51">
        <f>Table1[[#This Row],[CÒN LẠI (gram)]]*Table1[[#This Row],[ĐƠN GIÁ /1 KG]]/1000</f>
        <v>10437570</v>
      </c>
      <c r="AQ140" s="88" t="s">
        <v>218</v>
      </c>
      <c r="AR140" s="20"/>
      <c r="AS140" s="20"/>
      <c r="AT140" s="20"/>
      <c r="AU140" s="20"/>
    </row>
    <row r="141" spans="1:47" ht="28" customHeight="1" x14ac:dyDescent="0.35">
      <c r="A141" s="5">
        <v>138</v>
      </c>
      <c r="B141" s="66" t="s">
        <v>296</v>
      </c>
      <c r="C141" s="86" t="s">
        <v>298</v>
      </c>
      <c r="D141" s="13" t="s">
        <v>297</v>
      </c>
      <c r="E141" s="65" t="s">
        <v>17</v>
      </c>
      <c r="F141" s="49">
        <v>5</v>
      </c>
      <c r="G141" s="72">
        <v>46018</v>
      </c>
      <c r="H141" s="69">
        <v>42</v>
      </c>
      <c r="I141" s="50">
        <f>Table1[[#This Row],[SỐ LƯỢNG ]]*1000</f>
        <v>5000</v>
      </c>
      <c r="J141" s="50">
        <v>350000</v>
      </c>
      <c r="K141" s="16">
        <f>Table1[[#This Row],[SỐ LƯỢNG ]]*Table1[[#This Row],[ĐƠN GIÁ /1 KG]]</f>
        <v>1750000</v>
      </c>
      <c r="L141" s="50"/>
      <c r="M141" s="50"/>
      <c r="N141" s="50"/>
      <c r="O141" s="50"/>
      <c r="P141" s="50"/>
      <c r="Q141" s="50"/>
      <c r="R141" s="50"/>
      <c r="S141" s="50"/>
      <c r="T141" s="50">
        <v>4000</v>
      </c>
      <c r="U141" s="50"/>
      <c r="V141" s="50"/>
      <c r="W141" s="50"/>
      <c r="X141" s="50"/>
      <c r="Y141" s="50"/>
      <c r="Z141" s="50"/>
      <c r="AA141" s="50"/>
      <c r="AB141" s="50">
        <v>1000</v>
      </c>
      <c r="AC141" s="50"/>
      <c r="AD141" s="50"/>
      <c r="AE141" s="50"/>
      <c r="AF141" s="50"/>
      <c r="AG141" s="50"/>
      <c r="AH141" s="50"/>
      <c r="AI141" s="50"/>
      <c r="AJ141" s="50"/>
      <c r="AK141" s="50"/>
      <c r="AL141" s="50"/>
      <c r="AM141" s="50"/>
      <c r="AN141" s="50"/>
      <c r="AO141" s="51">
        <f>Table1[[#This Row],[QUY ĐỔI GRAM]]-SUM(Table1[[#This Row],[XK ĐỒNG TÂM]:[XK LSX 8]])</f>
        <v>0</v>
      </c>
      <c r="AP141" s="51">
        <f>Table1[[#This Row],[CÒN LẠI (gram)]]*Table1[[#This Row],[ĐƠN GIÁ /1 KG]]/1000</f>
        <v>0</v>
      </c>
      <c r="AQ141" s="88" t="s">
        <v>299</v>
      </c>
      <c r="AR141" s="20"/>
      <c r="AS141" s="20"/>
      <c r="AT141" s="20"/>
      <c r="AU141" s="20"/>
    </row>
    <row r="142" spans="1:47" ht="28" customHeight="1" x14ac:dyDescent="0.35">
      <c r="A142" s="5">
        <v>139</v>
      </c>
      <c r="B142" s="66" t="s">
        <v>300</v>
      </c>
      <c r="C142" s="3" t="s">
        <v>301</v>
      </c>
      <c r="D142" s="13" t="s">
        <v>302</v>
      </c>
      <c r="E142" s="65" t="s">
        <v>17</v>
      </c>
      <c r="F142" s="49">
        <v>1.6</v>
      </c>
      <c r="G142" s="72">
        <v>46018</v>
      </c>
      <c r="H142" s="69">
        <v>42</v>
      </c>
      <c r="I142" s="50">
        <f>Table1[[#This Row],[SỐ LƯỢNG ]]*1000</f>
        <v>1600</v>
      </c>
      <c r="J142" s="50">
        <v>850000</v>
      </c>
      <c r="K142" s="16">
        <f>Table1[[#This Row],[SỐ LƯỢNG ]]*Table1[[#This Row],[ĐƠN GIÁ /1 KG]]</f>
        <v>1360000</v>
      </c>
      <c r="L142" s="50"/>
      <c r="M142" s="50"/>
      <c r="N142" s="50"/>
      <c r="O142" s="50"/>
      <c r="P142" s="50"/>
      <c r="Q142" s="50"/>
      <c r="R142" s="50"/>
      <c r="S142" s="50"/>
      <c r="T142" s="50"/>
      <c r="U142" s="50"/>
      <c r="V142" s="50"/>
      <c r="W142" s="50"/>
      <c r="X142" s="50"/>
      <c r="Y142" s="50"/>
      <c r="Z142" s="50"/>
      <c r="AA142" s="50">
        <v>1567.5</v>
      </c>
      <c r="AB142" s="50"/>
      <c r="AC142" s="50"/>
      <c r="AD142" s="50"/>
      <c r="AE142" s="50"/>
      <c r="AF142" s="50"/>
      <c r="AG142" s="50"/>
      <c r="AH142" s="50"/>
      <c r="AI142" s="50"/>
      <c r="AJ142" s="50"/>
      <c r="AK142" s="50"/>
      <c r="AL142" s="50"/>
      <c r="AM142" s="50"/>
      <c r="AN142" s="50"/>
      <c r="AO142" s="51">
        <f>Table1[[#This Row],[QUY ĐỔI GRAM]]-SUM(Table1[[#This Row],[XK ĐỒNG TÂM]:[XK LSX 8]])</f>
        <v>32.5</v>
      </c>
      <c r="AP142" s="51">
        <f>Table1[[#This Row],[CÒN LẠI (gram)]]*Table1[[#This Row],[ĐƠN GIÁ /1 KG]]/1000</f>
        <v>27625</v>
      </c>
      <c r="AQ142" s="88" t="s">
        <v>299</v>
      </c>
      <c r="AR142" s="20"/>
      <c r="AS142" s="20"/>
      <c r="AT142" s="20"/>
      <c r="AU142" s="20"/>
    </row>
    <row r="143" spans="1:47" ht="27" customHeight="1" x14ac:dyDescent="0.35">
      <c r="A143" s="5">
        <v>140</v>
      </c>
      <c r="B143" s="66" t="s">
        <v>209</v>
      </c>
      <c r="C143" s="47"/>
      <c r="D143" s="48" t="s">
        <v>303</v>
      </c>
      <c r="E143" s="65" t="s">
        <v>17</v>
      </c>
      <c r="F143" s="49">
        <v>10</v>
      </c>
      <c r="G143" s="72">
        <v>46018</v>
      </c>
      <c r="H143" s="69">
        <v>42</v>
      </c>
      <c r="I143" s="50">
        <f>Table1[[#This Row],[SỐ LƯỢNG ]]*1000</f>
        <v>10000</v>
      </c>
      <c r="J143" s="50">
        <v>215000</v>
      </c>
      <c r="K143" s="16">
        <f>Table1[[#This Row],[SỐ LƯỢNG ]]*Table1[[#This Row],[ĐƠN GIÁ /1 KG]]</f>
        <v>2150000</v>
      </c>
      <c r="L143" s="50"/>
      <c r="M143" s="50"/>
      <c r="N143" s="50"/>
      <c r="O143" s="50"/>
      <c r="P143" s="50"/>
      <c r="Q143" s="50"/>
      <c r="R143" s="50"/>
      <c r="S143" s="50"/>
      <c r="T143" s="50"/>
      <c r="U143" s="50"/>
      <c r="V143" s="50">
        <v>6000</v>
      </c>
      <c r="W143" s="50"/>
      <c r="X143" s="50">
        <v>1500</v>
      </c>
      <c r="Y143" s="50"/>
      <c r="Z143" s="50">
        <v>300</v>
      </c>
      <c r="AA143" s="50"/>
      <c r="AB143" s="111"/>
      <c r="AC143" s="49">
        <v>1534.5</v>
      </c>
      <c r="AD143" s="49"/>
      <c r="AE143" s="49"/>
      <c r="AF143" s="49"/>
      <c r="AG143" s="49"/>
      <c r="AH143" s="49">
        <v>665.5</v>
      </c>
      <c r="AI143" s="49"/>
      <c r="AJ143" s="49"/>
      <c r="AK143" s="49"/>
      <c r="AL143" s="49"/>
      <c r="AM143" s="49"/>
      <c r="AN143" s="50"/>
      <c r="AO143" s="123">
        <f>Table1[[#This Row],[QUY ĐỔI GRAM]]-SUM(Table1[[#This Row],[XK ĐỒNG TÂM]:[XK LSX 8]])</f>
        <v>0</v>
      </c>
      <c r="AP143" s="51">
        <f>Table1[[#This Row],[CÒN LẠI (gram)]]*Table1[[#This Row],[ĐƠN GIÁ /1 KG]]/1000</f>
        <v>0</v>
      </c>
      <c r="AQ143" s="88" t="s">
        <v>299</v>
      </c>
      <c r="AR143" s="20"/>
      <c r="AS143" s="20"/>
      <c r="AT143" s="20"/>
      <c r="AU143" s="20"/>
    </row>
    <row r="144" spans="1:47" ht="27" customHeight="1" x14ac:dyDescent="0.35">
      <c r="A144" s="5">
        <v>141</v>
      </c>
      <c r="B144" s="66" t="s">
        <v>304</v>
      </c>
      <c r="C144" s="47"/>
      <c r="D144" s="13" t="s">
        <v>305</v>
      </c>
      <c r="E144" s="65" t="s">
        <v>17</v>
      </c>
      <c r="F144" s="49">
        <v>3</v>
      </c>
      <c r="G144" s="72">
        <v>46018</v>
      </c>
      <c r="H144" s="69">
        <v>42</v>
      </c>
      <c r="I144" s="50">
        <f>Table1[[#This Row],[SỐ LƯỢNG ]]*1000</f>
        <v>3000</v>
      </c>
      <c r="J144" s="50">
        <v>140000</v>
      </c>
      <c r="K144" s="16">
        <f>Table1[[#This Row],[SỐ LƯỢNG ]]*Table1[[#This Row],[ĐƠN GIÁ /1 KG]]</f>
        <v>420000</v>
      </c>
      <c r="L144" s="50"/>
      <c r="M144" s="50"/>
      <c r="N144" s="50"/>
      <c r="O144" s="50"/>
      <c r="P144" s="50"/>
      <c r="Q144" s="50"/>
      <c r="R144" s="50"/>
      <c r="S144" s="50"/>
      <c r="T144" s="50">
        <v>1200</v>
      </c>
      <c r="U144" s="50"/>
      <c r="V144" s="50"/>
      <c r="W144" s="50"/>
      <c r="X144" s="50"/>
      <c r="Y144" s="50"/>
      <c r="Z144" s="50"/>
      <c r="AA144" s="50"/>
      <c r="AB144" s="50">
        <v>1539</v>
      </c>
      <c r="AC144" s="50"/>
      <c r="AD144" s="50"/>
      <c r="AE144" s="50"/>
      <c r="AF144" s="50"/>
      <c r="AG144" s="50"/>
      <c r="AH144" s="50"/>
      <c r="AI144" s="50"/>
      <c r="AJ144" s="50"/>
      <c r="AK144" s="50"/>
      <c r="AL144" s="50"/>
      <c r="AM144" s="50"/>
      <c r="AN144" s="50"/>
      <c r="AO144" s="51">
        <f>Table1[[#This Row],[QUY ĐỔI GRAM]]-SUM(Table1[[#This Row],[XK ĐỒNG TÂM]:[XK LSX 8]])</f>
        <v>261</v>
      </c>
      <c r="AP144" s="51">
        <f>Table1[[#This Row],[CÒN LẠI (gram)]]*Table1[[#This Row],[ĐƠN GIÁ /1 KG]]/1000</f>
        <v>36540</v>
      </c>
      <c r="AQ144" s="88" t="s">
        <v>299</v>
      </c>
      <c r="AR144" s="20"/>
      <c r="AS144" s="20"/>
      <c r="AT144" s="20"/>
      <c r="AU144" s="20"/>
    </row>
    <row r="145" spans="1:47" ht="27" customHeight="1" x14ac:dyDescent="0.35">
      <c r="A145" s="5">
        <v>142</v>
      </c>
      <c r="B145" s="66" t="s">
        <v>52</v>
      </c>
      <c r="C145" s="47"/>
      <c r="D145" s="8" t="s">
        <v>54</v>
      </c>
      <c r="E145" s="65" t="s">
        <v>17</v>
      </c>
      <c r="F145" s="49">
        <v>2</v>
      </c>
      <c r="G145" s="72">
        <v>46018</v>
      </c>
      <c r="H145" s="69">
        <v>41</v>
      </c>
      <c r="I145" s="50">
        <f>Table1[[#This Row],[SỐ LƯỢNG ]]*1000</f>
        <v>2000</v>
      </c>
      <c r="J145" s="50">
        <v>340000</v>
      </c>
      <c r="K145" s="16">
        <f>Table1[[#This Row],[SỐ LƯỢNG ]]*Table1[[#This Row],[ĐƠN GIÁ /1 KG]]</f>
        <v>680000</v>
      </c>
      <c r="L145" s="50"/>
      <c r="M145" s="50"/>
      <c r="N145" s="50"/>
      <c r="O145" s="50"/>
      <c r="P145" s="50"/>
      <c r="Q145" s="50"/>
      <c r="R145" s="50"/>
      <c r="S145" s="50"/>
      <c r="T145" s="50"/>
      <c r="U145" s="50"/>
      <c r="V145" s="50"/>
      <c r="W145" s="50"/>
      <c r="X145" s="50"/>
      <c r="Y145" s="50"/>
      <c r="Z145" s="50">
        <v>300</v>
      </c>
      <c r="AA145" s="50">
        <v>627</v>
      </c>
      <c r="AB145" s="50">
        <v>513</v>
      </c>
      <c r="AC145" s="112">
        <v>255.75</v>
      </c>
      <c r="AD145" s="112"/>
      <c r="AE145" s="112">
        <v>304.25</v>
      </c>
      <c r="AF145" s="112"/>
      <c r="AG145" s="112"/>
      <c r="AH145" s="112"/>
      <c r="AI145" s="112"/>
      <c r="AJ145" s="112"/>
      <c r="AK145" s="112"/>
      <c r="AL145" s="112"/>
      <c r="AM145" s="112"/>
      <c r="AN145" s="50"/>
      <c r="AO145" s="121">
        <f>Table1[[#This Row],[QUY ĐỔI GRAM]]-SUM(Table1[[#This Row],[XK ĐỒNG TÂM]:[XK LSX 8]])</f>
        <v>0</v>
      </c>
      <c r="AP145" s="51">
        <f>Table1[[#This Row],[CÒN LẠI (gram)]]*Table1[[#This Row],[ĐƠN GIÁ /1 KG]]/1000</f>
        <v>0</v>
      </c>
      <c r="AQ145" s="88" t="s">
        <v>255</v>
      </c>
      <c r="AR145" s="20"/>
      <c r="AS145" s="20"/>
      <c r="AT145" s="20"/>
      <c r="AU145" s="20"/>
    </row>
    <row r="146" spans="1:47" ht="27" customHeight="1" x14ac:dyDescent="0.35">
      <c r="A146" s="5">
        <v>143</v>
      </c>
      <c r="B146" s="66" t="s">
        <v>306</v>
      </c>
      <c r="C146" s="47"/>
      <c r="D146" s="89" t="s">
        <v>307</v>
      </c>
      <c r="E146" s="65" t="s">
        <v>17</v>
      </c>
      <c r="F146" s="49">
        <v>0.5</v>
      </c>
      <c r="G146" s="72">
        <v>46018</v>
      </c>
      <c r="H146" s="69">
        <v>41</v>
      </c>
      <c r="I146" s="50">
        <f>Table1[[#This Row],[SỐ LƯỢNG ]]*1000</f>
        <v>500</v>
      </c>
      <c r="J146" s="50">
        <v>1950000</v>
      </c>
      <c r="K146" s="16">
        <f>Table1[[#This Row],[SỐ LƯỢNG ]]*Table1[[#This Row],[ĐƠN GIÁ /1 KG]]</f>
        <v>975000</v>
      </c>
      <c r="L146" s="50"/>
      <c r="M146" s="50"/>
      <c r="N146" s="50"/>
      <c r="O146" s="50"/>
      <c r="P146" s="50"/>
      <c r="Q146" s="50"/>
      <c r="R146" s="50"/>
      <c r="S146" s="50"/>
      <c r="T146" s="50"/>
      <c r="U146" s="50">
        <v>200</v>
      </c>
      <c r="V146" s="50"/>
      <c r="W146" s="50"/>
      <c r="X146" s="50"/>
      <c r="Y146" s="50"/>
      <c r="Z146" s="50"/>
      <c r="AA146" s="50"/>
      <c r="AB146" s="50"/>
      <c r="AC146" s="50"/>
      <c r="AD146" s="50"/>
      <c r="AE146" s="50"/>
      <c r="AF146" s="50"/>
      <c r="AG146" s="50"/>
      <c r="AH146" s="50"/>
      <c r="AI146" s="50"/>
      <c r="AJ146" s="50"/>
      <c r="AK146" s="50"/>
      <c r="AL146" s="50"/>
      <c r="AM146" s="50"/>
      <c r="AN146" s="50"/>
      <c r="AO146" s="51">
        <f>Table1[[#This Row],[QUY ĐỔI GRAM]]-SUM(Table1[[#This Row],[XK ĐỒNG TÂM]:[XK LSX 8]])</f>
        <v>300</v>
      </c>
      <c r="AP146" s="51">
        <f>Table1[[#This Row],[CÒN LẠI (gram)]]*Table1[[#This Row],[ĐƠN GIÁ /1 KG]]/1000</f>
        <v>585000</v>
      </c>
      <c r="AQ146" s="88" t="s">
        <v>255</v>
      </c>
      <c r="AR146" s="20"/>
      <c r="AS146" s="20"/>
      <c r="AT146" s="20"/>
      <c r="AU146" s="20"/>
    </row>
    <row r="147" spans="1:47" ht="27" customHeight="1" x14ac:dyDescent="0.35">
      <c r="A147" s="5">
        <v>144</v>
      </c>
      <c r="B147" s="66" t="s">
        <v>308</v>
      </c>
      <c r="C147" s="47" t="s">
        <v>309</v>
      </c>
      <c r="D147" s="13" t="s">
        <v>297</v>
      </c>
      <c r="E147" s="65" t="s">
        <v>17</v>
      </c>
      <c r="F147" s="49">
        <v>4</v>
      </c>
      <c r="G147" s="72">
        <v>46018</v>
      </c>
      <c r="H147" s="69">
        <v>41</v>
      </c>
      <c r="I147" s="50">
        <f>Table1[[#This Row],[SỐ LƯỢNG ]]*1000</f>
        <v>4000</v>
      </c>
      <c r="J147" s="50">
        <v>550000</v>
      </c>
      <c r="K147" s="16">
        <f>Table1[[#This Row],[SỐ LƯỢNG ]]*Table1[[#This Row],[ĐƠN GIÁ /1 KG]]</f>
        <v>2200000</v>
      </c>
      <c r="L147" s="50"/>
      <c r="M147" s="50"/>
      <c r="N147" s="50"/>
      <c r="O147" s="50"/>
      <c r="P147" s="50"/>
      <c r="Q147" s="50"/>
      <c r="R147" s="50"/>
      <c r="S147" s="50"/>
      <c r="T147" s="50"/>
      <c r="U147" s="50"/>
      <c r="V147" s="50"/>
      <c r="W147" s="50"/>
      <c r="X147" s="50"/>
      <c r="Y147" s="50"/>
      <c r="Z147" s="50"/>
      <c r="AA147" s="50">
        <v>1567.5</v>
      </c>
      <c r="AB147" s="50">
        <v>26</v>
      </c>
      <c r="AC147" s="49">
        <v>1534.5</v>
      </c>
      <c r="AD147" s="49">
        <v>450</v>
      </c>
      <c r="AE147" s="49"/>
      <c r="AF147" s="49"/>
      <c r="AG147" s="49"/>
      <c r="AH147" s="49"/>
      <c r="AI147" s="49"/>
      <c r="AJ147" s="49"/>
      <c r="AK147" s="49"/>
      <c r="AL147" s="49"/>
      <c r="AM147" s="49"/>
      <c r="AN147" s="50"/>
      <c r="AO147" s="51">
        <f>Table1[[#This Row],[QUY ĐỔI GRAM]]-SUM(Table1[[#This Row],[XK ĐỒNG TÂM]:[XK LSX 8]])</f>
        <v>422</v>
      </c>
      <c r="AP147" s="51">
        <f>Table1[[#This Row],[CÒN LẠI (gram)]]*Table1[[#This Row],[ĐƠN GIÁ /1 KG]]/1000</f>
        <v>232100</v>
      </c>
      <c r="AQ147" s="88" t="s">
        <v>255</v>
      </c>
      <c r="AR147" s="20"/>
      <c r="AS147" s="20"/>
      <c r="AT147" s="20"/>
      <c r="AU147" s="20"/>
    </row>
    <row r="148" spans="1:47" ht="27" customHeight="1" x14ac:dyDescent="0.35">
      <c r="A148" s="5">
        <v>145</v>
      </c>
      <c r="B148" s="66" t="s">
        <v>310</v>
      </c>
      <c r="C148" s="47"/>
      <c r="D148" s="89" t="s">
        <v>201</v>
      </c>
      <c r="E148" s="65" t="s">
        <v>17</v>
      </c>
      <c r="F148" s="49">
        <v>5.5</v>
      </c>
      <c r="G148" s="72">
        <v>46018</v>
      </c>
      <c r="H148" s="69">
        <v>41</v>
      </c>
      <c r="I148" s="50">
        <f>Table1[[#This Row],[SỐ LƯỢNG ]]*1000</f>
        <v>5500</v>
      </c>
      <c r="J148" s="50">
        <v>135000</v>
      </c>
      <c r="K148" s="16">
        <f>Table1[[#This Row],[SỐ LƯỢNG ]]*Table1[[#This Row],[ĐƠN GIÁ /1 KG]]</f>
        <v>742500</v>
      </c>
      <c r="L148" s="50"/>
      <c r="M148" s="50"/>
      <c r="N148" s="50"/>
      <c r="O148" s="50"/>
      <c r="P148" s="50"/>
      <c r="Q148" s="50"/>
      <c r="R148" s="50"/>
      <c r="S148" s="50"/>
      <c r="T148" s="50"/>
      <c r="U148" s="50"/>
      <c r="V148" s="50"/>
      <c r="W148" s="50"/>
      <c r="X148" s="50"/>
      <c r="Y148" s="50"/>
      <c r="Z148" s="50"/>
      <c r="AA148" s="50"/>
      <c r="AB148" s="50"/>
      <c r="AC148" s="50"/>
      <c r="AD148" s="50"/>
      <c r="AE148" s="50"/>
      <c r="AF148" s="50"/>
      <c r="AG148" s="49">
        <v>1333.3</v>
      </c>
      <c r="AH148" s="49"/>
      <c r="AI148" s="49"/>
      <c r="AJ148" s="49"/>
      <c r="AK148" s="49"/>
      <c r="AL148" s="49"/>
      <c r="AM148" s="49"/>
      <c r="AN148" s="50"/>
      <c r="AO148" s="51">
        <f>Table1[[#This Row],[QUY ĐỔI GRAM]]-SUM(Table1[[#This Row],[XK ĐỒNG TÂM]:[XK LSX 8]])</f>
        <v>4166.7</v>
      </c>
      <c r="AP148" s="51">
        <f>Table1[[#This Row],[CÒN LẠI (gram)]]*Table1[[#This Row],[ĐƠN GIÁ /1 KG]]/1000</f>
        <v>562504.5</v>
      </c>
      <c r="AQ148" s="88" t="s">
        <v>255</v>
      </c>
      <c r="AR148" s="20"/>
      <c r="AS148" s="20"/>
      <c r="AT148" s="20"/>
      <c r="AU148" s="20"/>
    </row>
    <row r="149" spans="1:47" ht="27" customHeight="1" x14ac:dyDescent="0.35">
      <c r="A149" s="5">
        <v>146</v>
      </c>
      <c r="B149" s="66" t="s">
        <v>74</v>
      </c>
      <c r="C149" s="47"/>
      <c r="D149" s="89" t="s">
        <v>311</v>
      </c>
      <c r="E149" s="65" t="s">
        <v>17</v>
      </c>
      <c r="F149" s="49">
        <v>6.5</v>
      </c>
      <c r="G149" s="72">
        <v>46018</v>
      </c>
      <c r="H149" s="69">
        <v>41</v>
      </c>
      <c r="I149" s="50">
        <f>Table1[[#This Row],[SỐ LƯỢNG ]]*1000</f>
        <v>6500</v>
      </c>
      <c r="J149" s="50">
        <v>280000</v>
      </c>
      <c r="K149" s="16">
        <f>Table1[[#This Row],[SỐ LƯỢNG ]]*Table1[[#This Row],[ĐƠN GIÁ /1 KG]]</f>
        <v>1820000</v>
      </c>
      <c r="L149" s="50"/>
      <c r="M149" s="50"/>
      <c r="N149" s="50"/>
      <c r="O149" s="50"/>
      <c r="P149" s="50"/>
      <c r="Q149" s="50"/>
      <c r="R149" s="50"/>
      <c r="S149" s="50"/>
      <c r="T149" s="50"/>
      <c r="U149" s="50"/>
      <c r="V149" s="50"/>
      <c r="W149" s="50">
        <v>6018</v>
      </c>
      <c r="X149" s="50"/>
      <c r="Y149" s="50"/>
      <c r="Z149" s="50"/>
      <c r="AA149" s="50"/>
      <c r="AB149" s="50"/>
      <c r="AC149" s="50"/>
      <c r="AD149" s="50"/>
      <c r="AE149" s="49">
        <v>405.2</v>
      </c>
      <c r="AF149" s="50"/>
      <c r="AG149" s="50"/>
      <c r="AH149" s="50"/>
      <c r="AI149" s="50"/>
      <c r="AJ149" s="50"/>
      <c r="AK149" s="50"/>
      <c r="AL149" s="50"/>
      <c r="AM149" s="50"/>
      <c r="AN149" s="50"/>
      <c r="AO149" s="123">
        <f>Table1[[#This Row],[QUY ĐỔI GRAM]]-SUM(Table1[[#This Row],[XK ĐỒNG TÂM]:[XK LSX 8]])</f>
        <v>76.800000000000182</v>
      </c>
      <c r="AP149" s="51">
        <f>Table1[[#This Row],[CÒN LẠI (gram)]]*Table1[[#This Row],[ĐƠN GIÁ /1 KG]]/1000</f>
        <v>21504.000000000051</v>
      </c>
      <c r="AQ149" s="88" t="s">
        <v>255</v>
      </c>
      <c r="AR149" s="47"/>
      <c r="AS149" s="47"/>
      <c r="AT149" s="47"/>
      <c r="AU149" s="47"/>
    </row>
    <row r="150" spans="1:47" ht="27" customHeight="1" x14ac:dyDescent="0.35">
      <c r="A150" s="5">
        <v>147</v>
      </c>
      <c r="B150" s="53" t="s">
        <v>312</v>
      </c>
      <c r="C150" s="20"/>
      <c r="D150" s="90" t="s">
        <v>313</v>
      </c>
      <c r="E150" s="15" t="s">
        <v>17</v>
      </c>
      <c r="F150" s="43">
        <v>1.2</v>
      </c>
      <c r="G150" s="72">
        <v>46018</v>
      </c>
      <c r="H150" s="26">
        <v>41</v>
      </c>
      <c r="I150" s="44">
        <f>Table1[[#This Row],[SỐ LƯỢNG ]]*1000</f>
        <v>1200</v>
      </c>
      <c r="J150" s="44">
        <v>2500000</v>
      </c>
      <c r="K150" s="16">
        <f>Table1[[#This Row],[SỐ LƯỢNG ]]*Table1[[#This Row],[ĐƠN GIÁ /1 KG]]</f>
        <v>3000000</v>
      </c>
      <c r="L150" s="44"/>
      <c r="M150" s="44"/>
      <c r="N150" s="44"/>
      <c r="O150" s="44"/>
      <c r="P150" s="44"/>
      <c r="Q150" s="44"/>
      <c r="R150" s="44"/>
      <c r="S150" s="44"/>
      <c r="T150" s="44"/>
      <c r="U150" s="44"/>
      <c r="V150" s="62">
        <v>899.99999999999989</v>
      </c>
      <c r="W150" s="44"/>
      <c r="X150" s="44"/>
      <c r="Y150" s="44"/>
      <c r="Z150" s="44"/>
      <c r="AA150" s="44"/>
      <c r="AB150" s="44"/>
      <c r="AC150" s="44"/>
      <c r="AD150" s="44"/>
      <c r="AE150" s="44"/>
      <c r="AF150" s="44"/>
      <c r="AG150" s="44"/>
      <c r="AH150" s="44"/>
      <c r="AI150" s="44"/>
      <c r="AJ150" s="44"/>
      <c r="AK150" s="44"/>
      <c r="AL150" s="44"/>
      <c r="AM150" s="44"/>
      <c r="AN150" s="44"/>
      <c r="AO150" s="45">
        <f>Table1[[#This Row],[QUY ĐỔI GRAM]]-SUM(Table1[[#This Row],[XK ĐỒNG TÂM]:[XK LSX 8]])</f>
        <v>300.00000000000011</v>
      </c>
      <c r="AP150" s="45">
        <f>Table1[[#This Row],[CÒN LẠI (gram)]]*Table1[[#This Row],[ĐƠN GIÁ /1 KG]]/1000</f>
        <v>750000.00000000023</v>
      </c>
      <c r="AQ150" s="88" t="s">
        <v>255</v>
      </c>
      <c r="AR150" s="20"/>
      <c r="AS150" s="20"/>
      <c r="AT150" s="20"/>
      <c r="AU150" s="20"/>
    </row>
    <row r="151" spans="1:47" ht="27" customHeight="1" x14ac:dyDescent="0.35">
      <c r="A151" s="5">
        <v>148</v>
      </c>
      <c r="B151" s="53" t="s">
        <v>314</v>
      </c>
      <c r="C151" s="20"/>
      <c r="D151" s="13" t="s">
        <v>315</v>
      </c>
      <c r="E151" s="15" t="s">
        <v>17</v>
      </c>
      <c r="F151" s="43">
        <v>0.9</v>
      </c>
      <c r="G151" s="72">
        <v>46018</v>
      </c>
      <c r="H151" s="26">
        <v>41</v>
      </c>
      <c r="I151" s="44">
        <f>Table1[[#This Row],[SỐ LƯỢNG ]]*1000</f>
        <v>900</v>
      </c>
      <c r="J151" s="44">
        <v>135000</v>
      </c>
      <c r="K151" s="16">
        <f>Table1[[#This Row],[SỐ LƯỢNG ]]*Table1[[#This Row],[ĐƠN GIÁ /1 KG]]</f>
        <v>121500</v>
      </c>
      <c r="L151" s="44"/>
      <c r="M151" s="44"/>
      <c r="N151" s="44"/>
      <c r="O151" s="44"/>
      <c r="P151" s="44"/>
      <c r="Q151" s="44"/>
      <c r="R151" s="44"/>
      <c r="S151" s="44"/>
      <c r="T151" s="44"/>
      <c r="U151" s="44"/>
      <c r="V151" s="44"/>
      <c r="W151" s="44"/>
      <c r="X151" s="44">
        <v>600</v>
      </c>
      <c r="Y151" s="44"/>
      <c r="Z151" s="44"/>
      <c r="AA151" s="44"/>
      <c r="AB151" s="44"/>
      <c r="AC151" s="44"/>
      <c r="AD151" s="44"/>
      <c r="AE151" s="44"/>
      <c r="AF151" s="44">
        <v>300</v>
      </c>
      <c r="AG151" s="44"/>
      <c r="AH151" s="44"/>
      <c r="AI151" s="44"/>
      <c r="AJ151" s="44"/>
      <c r="AK151" s="44"/>
      <c r="AL151" s="44"/>
      <c r="AM151" s="44"/>
      <c r="AN151" s="44"/>
      <c r="AO151" s="45">
        <f>Table1[[#This Row],[QUY ĐỔI GRAM]]-SUM(Table1[[#This Row],[XK ĐỒNG TÂM]:[XK LSX 8]])</f>
        <v>0</v>
      </c>
      <c r="AP151" s="45">
        <f>Table1[[#This Row],[CÒN LẠI (gram)]]*Table1[[#This Row],[ĐƠN GIÁ /1 KG]]/1000</f>
        <v>0</v>
      </c>
      <c r="AQ151" s="88" t="s">
        <v>255</v>
      </c>
      <c r="AR151" s="20"/>
      <c r="AS151" s="20"/>
      <c r="AT151" s="20"/>
      <c r="AU151" s="20"/>
    </row>
    <row r="152" spans="1:47" ht="27" customHeight="1" x14ac:dyDescent="0.35">
      <c r="A152" s="5">
        <v>149</v>
      </c>
      <c r="B152" s="53" t="s">
        <v>316</v>
      </c>
      <c r="C152" s="3" t="s">
        <v>330</v>
      </c>
      <c r="D152" s="13" t="s">
        <v>317</v>
      </c>
      <c r="E152" s="15" t="s">
        <v>17</v>
      </c>
      <c r="F152" s="43">
        <v>11</v>
      </c>
      <c r="G152" s="72">
        <v>46018</v>
      </c>
      <c r="H152" s="26">
        <v>7277</v>
      </c>
      <c r="I152" s="44">
        <f>Table1[[#This Row],[SỐ LƯỢNG ]]*1000</f>
        <v>11000</v>
      </c>
      <c r="J152" s="44">
        <v>58000</v>
      </c>
      <c r="K152" s="16">
        <f>Table1[[#This Row],[SỐ LƯỢNG ]]*Table1[[#This Row],[ĐƠN GIÁ /1 KG]]</f>
        <v>638000</v>
      </c>
      <c r="L152" s="44"/>
      <c r="M152" s="44"/>
      <c r="N152" s="44"/>
      <c r="O152" s="44"/>
      <c r="P152" s="44"/>
      <c r="Q152" s="44"/>
      <c r="R152" s="44"/>
      <c r="S152" s="44"/>
      <c r="T152" s="44"/>
      <c r="U152" s="44"/>
      <c r="V152" s="44"/>
      <c r="W152" s="44"/>
      <c r="X152" s="44"/>
      <c r="Y152" s="44"/>
      <c r="Z152" s="44"/>
      <c r="AA152" s="44"/>
      <c r="AB152" s="110">
        <v>5130</v>
      </c>
      <c r="AC152" s="44">
        <v>5115</v>
      </c>
      <c r="AD152" s="44"/>
      <c r="AE152" s="44"/>
      <c r="AF152" s="44"/>
      <c r="AG152" s="44"/>
      <c r="AH152" s="44"/>
      <c r="AI152" s="44"/>
      <c r="AJ152" s="44"/>
      <c r="AK152" s="44"/>
      <c r="AL152" s="44"/>
      <c r="AM152" s="44"/>
      <c r="AN152" s="44"/>
      <c r="AO152" s="45">
        <f>Table1[[#This Row],[QUY ĐỔI GRAM]]-SUM(Table1[[#This Row],[XK ĐỒNG TÂM]:[XK LSX 8]])</f>
        <v>755</v>
      </c>
      <c r="AP152" s="45">
        <f>Table1[[#This Row],[CÒN LẠI (gram)]]*Table1[[#This Row],[ĐƠN GIÁ /1 KG]]/1000</f>
        <v>43790</v>
      </c>
      <c r="AQ152" s="88" t="s">
        <v>255</v>
      </c>
      <c r="AR152" s="20"/>
      <c r="AS152" s="20"/>
      <c r="AT152" s="20"/>
      <c r="AU152" s="20"/>
    </row>
    <row r="153" spans="1:47" ht="27" customHeight="1" x14ac:dyDescent="0.35">
      <c r="A153" s="5">
        <v>150</v>
      </c>
      <c r="B153" s="53" t="s">
        <v>318</v>
      </c>
      <c r="C153" s="20"/>
      <c r="D153" s="201"/>
      <c r="E153" s="15" t="s">
        <v>17</v>
      </c>
      <c r="F153" s="43">
        <v>7</v>
      </c>
      <c r="G153" s="72">
        <v>46018</v>
      </c>
      <c r="H153" s="26">
        <v>7277</v>
      </c>
      <c r="I153" s="44">
        <f>Table1[[#This Row],[SỐ LƯỢNG ]]*1000</f>
        <v>7000</v>
      </c>
      <c r="J153" s="44">
        <v>395000</v>
      </c>
      <c r="K153" s="16">
        <f>Table1[[#This Row],[SỐ LƯỢNG ]]*Table1[[#This Row],[ĐƠN GIÁ /1 KG]]</f>
        <v>2765000</v>
      </c>
      <c r="L153" s="44"/>
      <c r="M153" s="44"/>
      <c r="N153" s="44"/>
      <c r="O153" s="44"/>
      <c r="P153" s="44"/>
      <c r="Q153" s="44"/>
      <c r="R153" s="44"/>
      <c r="S153" s="44"/>
      <c r="T153" s="44"/>
      <c r="U153" s="44"/>
      <c r="V153" s="44"/>
      <c r="W153" s="44"/>
      <c r="X153" s="44"/>
      <c r="Y153" s="44"/>
      <c r="Z153" s="44"/>
      <c r="AA153" s="44">
        <v>1567.5</v>
      </c>
      <c r="AB153" s="44">
        <v>2565</v>
      </c>
      <c r="AC153" s="43">
        <v>2557.5</v>
      </c>
      <c r="AD153" s="43"/>
      <c r="AE153" s="43"/>
      <c r="AF153" s="43"/>
      <c r="AG153" s="43"/>
      <c r="AH153" s="43"/>
      <c r="AI153" s="43"/>
      <c r="AJ153" s="43"/>
      <c r="AK153" s="43"/>
      <c r="AL153" s="43"/>
      <c r="AM153" s="43"/>
      <c r="AN153" s="44"/>
      <c r="AO153" s="45">
        <f>Table1[[#This Row],[QUY ĐỔI GRAM]]-SUM(Table1[[#This Row],[XK ĐỒNG TÂM]:[XK LSX 8]])</f>
        <v>310</v>
      </c>
      <c r="AP153" s="45">
        <f>Table1[[#This Row],[CÒN LẠI (gram)]]*Table1[[#This Row],[ĐƠN GIÁ /1 KG]]/1000</f>
        <v>122450</v>
      </c>
      <c r="AQ153" s="3" t="s">
        <v>275</v>
      </c>
      <c r="AR153" s="20"/>
      <c r="AS153" s="20"/>
      <c r="AT153" s="20"/>
      <c r="AU153" s="20"/>
    </row>
    <row r="154" spans="1:47" ht="27" customHeight="1" x14ac:dyDescent="0.35">
      <c r="A154" s="5">
        <v>151</v>
      </c>
      <c r="B154" s="53" t="s">
        <v>319</v>
      </c>
      <c r="C154" s="20"/>
      <c r="D154" s="13" t="s">
        <v>320</v>
      </c>
      <c r="E154" s="15" t="s">
        <v>17</v>
      </c>
      <c r="F154" s="43">
        <v>10</v>
      </c>
      <c r="G154" s="72">
        <v>46018</v>
      </c>
      <c r="H154" s="26">
        <v>7277</v>
      </c>
      <c r="I154" s="44">
        <f>Table1[[#This Row],[SỐ LƯỢNG ]]*1000</f>
        <v>10000</v>
      </c>
      <c r="J154" s="44">
        <v>46296</v>
      </c>
      <c r="K154" s="16">
        <f>Table1[[#This Row],[SỐ LƯỢNG ]]*Table1[[#This Row],[ĐƠN GIÁ /1 KG]]</f>
        <v>462960</v>
      </c>
      <c r="L154" s="44"/>
      <c r="M154" s="44"/>
      <c r="N154" s="44"/>
      <c r="O154" s="44"/>
      <c r="P154" s="44"/>
      <c r="Q154" s="44"/>
      <c r="R154" s="44"/>
      <c r="S154" s="44"/>
      <c r="T154" s="44"/>
      <c r="U154" s="44"/>
      <c r="V154" s="44"/>
      <c r="W154" s="44">
        <v>8024</v>
      </c>
      <c r="X154" s="44"/>
      <c r="Y154" s="44"/>
      <c r="Z154" s="44"/>
      <c r="AA154" s="44"/>
      <c r="AB154" s="44"/>
      <c r="AC154" s="44"/>
      <c r="AD154" s="44"/>
      <c r="AE154" s="44"/>
      <c r="AF154" s="44"/>
      <c r="AG154" s="44"/>
      <c r="AH154" s="44"/>
      <c r="AI154" s="44"/>
      <c r="AJ154" s="44"/>
      <c r="AK154" s="44"/>
      <c r="AL154" s="44"/>
      <c r="AM154" s="44"/>
      <c r="AN154" s="44"/>
      <c r="AO154" s="45">
        <f>Table1[[#This Row],[QUY ĐỔI GRAM]]-SUM(Table1[[#This Row],[XK ĐỒNG TÂM]:[XK LSX 8]])</f>
        <v>1976</v>
      </c>
      <c r="AP154" s="45">
        <f>Table1[[#This Row],[CÒN LẠI (gram)]]*Table1[[#This Row],[ĐƠN GIÁ /1 KG]]/1000</f>
        <v>91480.895999999993</v>
      </c>
      <c r="AQ154" s="3" t="s">
        <v>275</v>
      </c>
      <c r="AR154" s="20"/>
      <c r="AS154" s="20"/>
      <c r="AT154" s="20"/>
      <c r="AU154" s="20"/>
    </row>
    <row r="155" spans="1:47" ht="27" customHeight="1" x14ac:dyDescent="0.35">
      <c r="A155" s="5">
        <v>152</v>
      </c>
      <c r="B155" s="53" t="s">
        <v>321</v>
      </c>
      <c r="C155" s="20"/>
      <c r="D155" s="13" t="s">
        <v>322</v>
      </c>
      <c r="E155" s="15" t="s">
        <v>17</v>
      </c>
      <c r="F155" s="43">
        <v>1.4</v>
      </c>
      <c r="G155" s="72">
        <v>46018</v>
      </c>
      <c r="H155" s="26">
        <v>7277</v>
      </c>
      <c r="I155" s="44">
        <f>Table1[[#This Row],[SỐ LƯỢNG ]]*1000</f>
        <v>1400</v>
      </c>
      <c r="J155" s="44">
        <v>103000</v>
      </c>
      <c r="K155" s="16">
        <f>Table1[[#This Row],[SỐ LƯỢNG ]]*Table1[[#This Row],[ĐƠN GIÁ /1 KG]]</f>
        <v>144200</v>
      </c>
      <c r="L155" s="44"/>
      <c r="M155" s="44"/>
      <c r="N155" s="44"/>
      <c r="O155" s="44"/>
      <c r="P155" s="44"/>
      <c r="Q155" s="44"/>
      <c r="R155" s="44"/>
      <c r="S155" s="44"/>
      <c r="T155" s="44"/>
      <c r="U155" s="44"/>
      <c r="V155" s="44"/>
      <c r="W155" s="44"/>
      <c r="X155" s="44"/>
      <c r="Y155" s="44"/>
      <c r="Z155" s="44"/>
      <c r="AA155" s="44"/>
      <c r="AB155" s="44"/>
      <c r="AC155" s="113">
        <v>255.75</v>
      </c>
      <c r="AD155" s="113"/>
      <c r="AE155" s="113"/>
      <c r="AF155" s="113"/>
      <c r="AG155" s="113"/>
      <c r="AH155" s="113"/>
      <c r="AI155" s="113"/>
      <c r="AJ155" s="113"/>
      <c r="AK155" s="113"/>
      <c r="AL155" s="113"/>
      <c r="AM155" s="113"/>
      <c r="AN155" s="44"/>
      <c r="AO155" s="45">
        <f>Table1[[#This Row],[QUY ĐỔI GRAM]]-SUM(Table1[[#This Row],[XK ĐỒNG TÂM]:[XK LSX 8]])</f>
        <v>1144.25</v>
      </c>
      <c r="AP155" s="45">
        <f>Table1[[#This Row],[CÒN LẠI (gram)]]*Table1[[#This Row],[ĐƠN GIÁ /1 KG]]/1000</f>
        <v>117857.75</v>
      </c>
      <c r="AQ155" s="3" t="s">
        <v>275</v>
      </c>
      <c r="AR155" s="20"/>
      <c r="AS155" s="20"/>
      <c r="AT155" s="20"/>
      <c r="AU155" s="20"/>
    </row>
    <row r="156" spans="1:47" ht="27" customHeight="1" x14ac:dyDescent="0.35">
      <c r="A156" s="5">
        <v>153</v>
      </c>
      <c r="B156" s="53" t="s">
        <v>323</v>
      </c>
      <c r="C156" s="20" t="s">
        <v>324</v>
      </c>
      <c r="D156" s="13" t="s">
        <v>315</v>
      </c>
      <c r="E156" s="15" t="s">
        <v>17</v>
      </c>
      <c r="F156" s="43">
        <v>30</v>
      </c>
      <c r="G156" s="72">
        <v>46018</v>
      </c>
      <c r="H156" s="26">
        <v>7277</v>
      </c>
      <c r="I156" s="44">
        <f>Table1[[#This Row],[SỐ LƯỢNG ]]*1000</f>
        <v>30000</v>
      </c>
      <c r="J156" s="44">
        <v>93981</v>
      </c>
      <c r="K156" s="16">
        <f>Table1[[#This Row],[SỐ LƯỢNG ]]*Table1[[#This Row],[ĐƠN GIÁ /1 KG]]</f>
        <v>2819430</v>
      </c>
      <c r="L156" s="44"/>
      <c r="M156" s="44"/>
      <c r="N156" s="44"/>
      <c r="O156" s="44"/>
      <c r="P156" s="44"/>
      <c r="Q156" s="44"/>
      <c r="R156" s="44"/>
      <c r="S156" s="44"/>
      <c r="T156" s="44"/>
      <c r="U156" s="44"/>
      <c r="V156" s="44"/>
      <c r="W156" s="44"/>
      <c r="X156" s="44"/>
      <c r="Y156" s="44"/>
      <c r="Z156" s="44">
        <v>15000</v>
      </c>
      <c r="AA156" s="44"/>
      <c r="AB156" s="44"/>
      <c r="AC156" s="113">
        <v>255.75</v>
      </c>
      <c r="AD156" s="113"/>
      <c r="AE156" s="113"/>
      <c r="AF156" s="113">
        <v>2406</v>
      </c>
      <c r="AG156" s="113">
        <v>2742</v>
      </c>
      <c r="AH156" s="113">
        <v>8000</v>
      </c>
      <c r="AI156" s="113"/>
      <c r="AJ156" s="113"/>
      <c r="AK156" s="113"/>
      <c r="AL156" s="113"/>
      <c r="AM156" s="113"/>
      <c r="AN156" s="44"/>
      <c r="AO156" s="45">
        <f>Table1[[#This Row],[QUY ĐỔI GRAM]]-SUM(Table1[[#This Row],[XK ĐỒNG TÂM]:[XK LSX 8]])</f>
        <v>1596.25</v>
      </c>
      <c r="AP156" s="45">
        <f>Table1[[#This Row],[CÒN LẠI (gram)]]*Table1[[#This Row],[ĐƠN GIÁ /1 KG]]/1000</f>
        <v>150017.17125000001</v>
      </c>
      <c r="AQ156" s="3" t="s">
        <v>275</v>
      </c>
      <c r="AR156" s="20"/>
      <c r="AS156" s="20"/>
      <c r="AT156" s="20"/>
      <c r="AU156" s="20"/>
    </row>
    <row r="157" spans="1:47" ht="27" customHeight="1" x14ac:dyDescent="0.35">
      <c r="A157" s="5">
        <v>154</v>
      </c>
      <c r="B157" s="53" t="s">
        <v>325</v>
      </c>
      <c r="C157" s="13" t="s">
        <v>327</v>
      </c>
      <c r="D157" s="13" t="s">
        <v>326</v>
      </c>
      <c r="E157" s="15" t="s">
        <v>17</v>
      </c>
      <c r="F157" s="43">
        <v>61</v>
      </c>
      <c r="G157" s="72">
        <v>46018</v>
      </c>
      <c r="H157" s="26">
        <v>7277</v>
      </c>
      <c r="I157" s="44">
        <f>Table1[[#This Row],[SỐ LƯỢNG ]]*1000</f>
        <v>61000</v>
      </c>
      <c r="J157" s="44">
        <v>45000</v>
      </c>
      <c r="K157" s="16">
        <f>Table1[[#This Row],[SỐ LƯỢNG ]]*Table1[[#This Row],[ĐƠN GIÁ /1 KG]]</f>
        <v>2745000</v>
      </c>
      <c r="L157" s="44"/>
      <c r="M157" s="44"/>
      <c r="N157" s="44"/>
      <c r="O157" s="44"/>
      <c r="P157" s="44"/>
      <c r="Q157" s="44"/>
      <c r="R157" s="44"/>
      <c r="S157" s="44"/>
      <c r="T157" s="44"/>
      <c r="U157" s="44"/>
      <c r="V157" s="44"/>
      <c r="W157" s="44">
        <v>20060</v>
      </c>
      <c r="X157" s="44"/>
      <c r="Y157" s="44"/>
      <c r="Z157" s="44"/>
      <c r="AA157" s="44"/>
      <c r="AB157" s="44"/>
      <c r="AC157" s="44"/>
      <c r="AD157" s="44"/>
      <c r="AE157" s="44"/>
      <c r="AF157" s="44"/>
      <c r="AG157" s="44"/>
      <c r="AH157" s="44"/>
      <c r="AI157" s="44"/>
      <c r="AJ157" s="44"/>
      <c r="AK157" s="44"/>
      <c r="AL157" s="44"/>
      <c r="AM157" s="44"/>
      <c r="AN157" s="44"/>
      <c r="AO157" s="45">
        <f>Table1[[#This Row],[QUY ĐỔI GRAM]]-SUM(Table1[[#This Row],[XK ĐỒNG TÂM]:[XK LSX 8]])</f>
        <v>40940</v>
      </c>
      <c r="AP157" s="45">
        <f>Table1[[#This Row],[CÒN LẠI (gram)]]*Table1[[#This Row],[ĐƠN GIÁ /1 KG]]/1000</f>
        <v>1842300</v>
      </c>
      <c r="AQ157" s="3" t="s">
        <v>275</v>
      </c>
      <c r="AR157" s="20"/>
      <c r="AS157" s="20"/>
      <c r="AT157" s="20"/>
      <c r="AU157" s="20"/>
    </row>
    <row r="158" spans="1:47" ht="27" customHeight="1" x14ac:dyDescent="0.35">
      <c r="A158" s="5">
        <v>155</v>
      </c>
      <c r="B158" s="53" t="s">
        <v>328</v>
      </c>
      <c r="C158" s="3" t="s">
        <v>329</v>
      </c>
      <c r="D158" s="13" t="s">
        <v>331</v>
      </c>
      <c r="E158" s="15" t="s">
        <v>17</v>
      </c>
      <c r="F158" s="43">
        <v>30</v>
      </c>
      <c r="G158" s="72">
        <v>46018</v>
      </c>
      <c r="H158" s="26">
        <v>7277</v>
      </c>
      <c r="I158" s="44">
        <f>Table1[[#This Row],[SỐ LƯỢNG ]]*1000</f>
        <v>30000</v>
      </c>
      <c r="J158" s="44">
        <v>64000</v>
      </c>
      <c r="K158" s="16">
        <f>Table1[[#This Row],[SỐ LƯỢNG ]]*Table1[[#This Row],[ĐƠN GIÁ /1 KG]]</f>
        <v>1920000</v>
      </c>
      <c r="L158" s="44"/>
      <c r="M158" s="44"/>
      <c r="N158" s="44"/>
      <c r="O158" s="44"/>
      <c r="P158" s="44"/>
      <c r="Q158" s="44"/>
      <c r="R158" s="44"/>
      <c r="S158" s="44"/>
      <c r="T158" s="44">
        <v>320</v>
      </c>
      <c r="U158" s="44"/>
      <c r="V158" s="44"/>
      <c r="W158" s="44"/>
      <c r="X158" s="44"/>
      <c r="Y158" s="44"/>
      <c r="Z158" s="44"/>
      <c r="AA158" s="44">
        <v>3135</v>
      </c>
      <c r="AB158" s="110"/>
      <c r="AC158" s="44">
        <v>5115</v>
      </c>
      <c r="AD158" s="44">
        <v>3000</v>
      </c>
      <c r="AE158" s="44"/>
      <c r="AF158" s="44"/>
      <c r="AG158" s="44"/>
      <c r="AH158" s="44"/>
      <c r="AI158" s="44"/>
      <c r="AJ158" s="44"/>
      <c r="AK158" s="44"/>
      <c r="AL158" s="44"/>
      <c r="AM158" s="44"/>
      <c r="AN158" s="44"/>
      <c r="AO158" s="45">
        <f>Table1[[#This Row],[QUY ĐỔI GRAM]]-SUM(Table1[[#This Row],[XK ĐỒNG TÂM]:[XK LSX 8]])</f>
        <v>18430</v>
      </c>
      <c r="AP158" s="45">
        <f>Table1[[#This Row],[CÒN LẠI (gram)]]*Table1[[#This Row],[ĐƠN GIÁ /1 KG]]/1000</f>
        <v>1179520</v>
      </c>
      <c r="AQ158" s="3" t="s">
        <v>275</v>
      </c>
      <c r="AR158" s="20"/>
      <c r="AS158" s="20"/>
      <c r="AT158" s="20"/>
      <c r="AU158" s="20"/>
    </row>
    <row r="159" spans="1:47" ht="27" customHeight="1" x14ac:dyDescent="0.35">
      <c r="A159" s="5">
        <v>156</v>
      </c>
      <c r="B159" s="66" t="s">
        <v>332</v>
      </c>
      <c r="C159" s="88"/>
      <c r="D159" s="13" t="s">
        <v>333</v>
      </c>
      <c r="E159" s="65" t="s">
        <v>17</v>
      </c>
      <c r="F159" s="49">
        <v>30</v>
      </c>
      <c r="G159" s="72">
        <v>46020</v>
      </c>
      <c r="H159" s="69">
        <v>7287</v>
      </c>
      <c r="I159" s="50">
        <f>Table1[[#This Row],[SỐ LƯỢNG ]]*1000</f>
        <v>30000</v>
      </c>
      <c r="J159" s="50">
        <v>271000</v>
      </c>
      <c r="K159" s="16">
        <f>Table1[[#This Row],[SỐ LƯỢNG ]]*Table1[[#This Row],[ĐƠN GIÁ /1 KG]]</f>
        <v>8130000</v>
      </c>
      <c r="L159" s="50"/>
      <c r="M159" s="50"/>
      <c r="N159" s="50"/>
      <c r="O159" s="50"/>
      <c r="P159" s="50"/>
      <c r="Q159" s="50"/>
      <c r="R159" s="50"/>
      <c r="S159" s="50"/>
      <c r="T159" s="50"/>
      <c r="U159" s="50">
        <v>1000</v>
      </c>
      <c r="V159" s="50"/>
      <c r="W159" s="50"/>
      <c r="X159" s="50"/>
      <c r="Y159" s="50">
        <v>10045</v>
      </c>
      <c r="Z159" s="50"/>
      <c r="AA159" s="50">
        <v>6270</v>
      </c>
      <c r="AB159" s="50">
        <v>10260</v>
      </c>
      <c r="AC159" s="50"/>
      <c r="AD159" s="50"/>
      <c r="AE159" s="50"/>
      <c r="AF159" s="50"/>
      <c r="AG159" s="50"/>
      <c r="AH159" s="50"/>
      <c r="AI159" s="50"/>
      <c r="AJ159" s="50"/>
      <c r="AK159" s="50"/>
      <c r="AL159" s="50"/>
      <c r="AM159" s="50"/>
      <c r="AN159" s="50"/>
      <c r="AO159" s="51">
        <f>Table1[[#This Row],[QUY ĐỔI GRAM]]-SUM(Table1[[#This Row],[XK ĐỒNG TÂM]:[XK LSX 8]])</f>
        <v>2425</v>
      </c>
      <c r="AP159" s="51">
        <f>Table1[[#This Row],[CÒN LẠI (gram)]]*Table1[[#This Row],[ĐƠN GIÁ /1 KG]]/1000</f>
        <v>657175</v>
      </c>
      <c r="AQ159" s="3" t="s">
        <v>275</v>
      </c>
      <c r="AR159" s="20"/>
      <c r="AS159" s="20"/>
      <c r="AT159" s="20"/>
      <c r="AU159" s="20"/>
    </row>
    <row r="160" spans="1:47" ht="27" customHeight="1" x14ac:dyDescent="0.35">
      <c r="A160" s="5">
        <v>157</v>
      </c>
      <c r="B160" s="66" t="s">
        <v>334</v>
      </c>
      <c r="C160" s="88" t="s">
        <v>164</v>
      </c>
      <c r="D160" s="89" t="s">
        <v>165</v>
      </c>
      <c r="E160" s="65" t="s">
        <v>17</v>
      </c>
      <c r="F160" s="49">
        <v>30</v>
      </c>
      <c r="G160" s="72">
        <v>46020</v>
      </c>
      <c r="H160" s="69">
        <v>7287</v>
      </c>
      <c r="I160" s="50">
        <f>Table1[[#This Row],[SỐ LƯỢNG ]]*1000</f>
        <v>30000</v>
      </c>
      <c r="J160" s="50">
        <v>195370</v>
      </c>
      <c r="K160" s="16">
        <f>Table1[[#This Row],[SỐ LƯỢNG ]]*Table1[[#This Row],[ĐƠN GIÁ /1 KG]]</f>
        <v>5861100</v>
      </c>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1">
        <f>Table1[[#This Row],[QUY ĐỔI GRAM]]-SUM(Table1[[#This Row],[XK ĐỒNG TÂM]:[XK LSX 8]])</f>
        <v>30000</v>
      </c>
      <c r="AP160" s="51">
        <f>Table1[[#This Row],[CÒN LẠI (gram)]]*Table1[[#This Row],[ĐƠN GIÁ /1 KG]]/1000</f>
        <v>5861100</v>
      </c>
      <c r="AQ160" s="3" t="s">
        <v>275</v>
      </c>
      <c r="AR160" s="20"/>
      <c r="AS160" s="20"/>
      <c r="AT160" s="20"/>
      <c r="AU160" s="20"/>
    </row>
    <row r="161" spans="1:47" ht="27" customHeight="1" x14ac:dyDescent="0.35">
      <c r="A161" s="5">
        <v>158</v>
      </c>
      <c r="B161" s="66" t="s">
        <v>335</v>
      </c>
      <c r="C161" s="84" t="s">
        <v>336</v>
      </c>
      <c r="D161" s="84" t="s">
        <v>337</v>
      </c>
      <c r="E161" s="65" t="s">
        <v>17</v>
      </c>
      <c r="F161" s="49">
        <v>32</v>
      </c>
      <c r="G161" s="72">
        <v>46020</v>
      </c>
      <c r="H161" s="69">
        <v>7287</v>
      </c>
      <c r="I161" s="50">
        <f>Table1[[#This Row],[SỐ LƯỢNG ]]*1000</f>
        <v>32000</v>
      </c>
      <c r="J161" s="50">
        <v>68500</v>
      </c>
      <c r="K161" s="16">
        <f>Table1[[#This Row],[SỐ LƯỢNG ]]*Table1[[#This Row],[ĐƠN GIÁ /1 KG]]</f>
        <v>2192000</v>
      </c>
      <c r="L161" s="50"/>
      <c r="M161" s="50"/>
      <c r="N161" s="50"/>
      <c r="O161" s="50"/>
      <c r="P161" s="50"/>
      <c r="Q161" s="50"/>
      <c r="R161" s="50"/>
      <c r="S161" s="50"/>
      <c r="T161" s="50"/>
      <c r="U161" s="50"/>
      <c r="V161" s="50"/>
      <c r="W161" s="50">
        <v>30090</v>
      </c>
      <c r="X161" s="50"/>
      <c r="Y161" s="50"/>
      <c r="Z161" s="50"/>
      <c r="AA161" s="50"/>
      <c r="AB161" s="50"/>
      <c r="AC161" s="50"/>
      <c r="AD161" s="50"/>
      <c r="AE161" s="50"/>
      <c r="AF161" s="50"/>
      <c r="AG161" s="50"/>
      <c r="AH161" s="50"/>
      <c r="AI161" s="50"/>
      <c r="AJ161" s="50"/>
      <c r="AK161" s="50"/>
      <c r="AL161" s="50"/>
      <c r="AM161" s="50"/>
      <c r="AN161" s="50"/>
      <c r="AO161" s="51">
        <f>Table1[[#This Row],[QUY ĐỔI GRAM]]-SUM(Table1[[#This Row],[XK ĐỒNG TÂM]:[XK LSX 8]])</f>
        <v>1910</v>
      </c>
      <c r="AP161" s="51">
        <f>Table1[[#This Row],[CÒN LẠI (gram)]]*Table1[[#This Row],[ĐƠN GIÁ /1 KG]]/1000</f>
        <v>130835</v>
      </c>
      <c r="AQ161" s="3" t="s">
        <v>275</v>
      </c>
      <c r="AR161" s="20"/>
      <c r="AS161" s="20"/>
      <c r="AT161" s="20"/>
      <c r="AU161" s="20"/>
    </row>
    <row r="162" spans="1:47" ht="27" customHeight="1" x14ac:dyDescent="0.35">
      <c r="A162" s="5">
        <v>159</v>
      </c>
      <c r="B162" s="66" t="s">
        <v>173</v>
      </c>
      <c r="C162" s="88"/>
      <c r="D162" s="89" t="s">
        <v>338</v>
      </c>
      <c r="E162" s="65" t="s">
        <v>17</v>
      </c>
      <c r="F162" s="49">
        <v>1</v>
      </c>
      <c r="G162" s="72">
        <v>46020</v>
      </c>
      <c r="H162" s="69">
        <v>7287</v>
      </c>
      <c r="I162" s="50">
        <f>Table1[[#This Row],[SỐ LƯỢNG ]]*1000</f>
        <v>1000</v>
      </c>
      <c r="J162" s="50">
        <v>1800000</v>
      </c>
      <c r="K162" s="16">
        <f>Table1[[#This Row],[SỐ LƯỢNG ]]*Table1[[#This Row],[ĐƠN GIÁ /1 KG]]</f>
        <v>1800000</v>
      </c>
      <c r="L162" s="50"/>
      <c r="M162" s="50"/>
      <c r="N162" s="50"/>
      <c r="O162" s="50"/>
      <c r="P162" s="50"/>
      <c r="Q162" s="50"/>
      <c r="R162" s="50"/>
      <c r="S162" s="50"/>
      <c r="T162" s="50"/>
      <c r="U162" s="50"/>
      <c r="V162" s="50"/>
      <c r="W162" s="50"/>
      <c r="X162" s="50"/>
      <c r="Y162" s="50"/>
      <c r="Z162" s="50"/>
      <c r="AA162" s="50"/>
      <c r="AB162" s="109">
        <v>653</v>
      </c>
      <c r="AC162" s="50"/>
      <c r="AD162" s="50"/>
      <c r="AE162" s="50"/>
      <c r="AF162" s="50"/>
      <c r="AG162" s="50"/>
      <c r="AH162" s="50"/>
      <c r="AI162" s="50"/>
      <c r="AJ162" s="50"/>
      <c r="AK162" s="50"/>
      <c r="AL162" s="50"/>
      <c r="AM162" s="50"/>
      <c r="AN162" s="50"/>
      <c r="AO162" s="51">
        <f>Table1[[#This Row],[QUY ĐỔI GRAM]]-SUM(Table1[[#This Row],[XK ĐỒNG TÂM]:[XK LSX 8]])</f>
        <v>347</v>
      </c>
      <c r="AP162" s="51">
        <f>Table1[[#This Row],[CÒN LẠI (gram)]]*Table1[[#This Row],[ĐƠN GIÁ /1 KG]]/1000</f>
        <v>624600</v>
      </c>
      <c r="AQ162" s="3" t="s">
        <v>275</v>
      </c>
      <c r="AR162" s="20"/>
      <c r="AS162" s="20"/>
      <c r="AT162" s="20"/>
      <c r="AU162" s="20"/>
    </row>
    <row r="163" spans="1:47" ht="27" customHeight="1" x14ac:dyDescent="0.35">
      <c r="A163" s="5">
        <v>160</v>
      </c>
      <c r="B163" s="66" t="s">
        <v>339</v>
      </c>
      <c r="C163" s="88" t="s">
        <v>340</v>
      </c>
      <c r="D163" s="91" t="s">
        <v>341</v>
      </c>
      <c r="E163" s="65" t="s">
        <v>17</v>
      </c>
      <c r="F163" s="49">
        <v>9</v>
      </c>
      <c r="G163" s="72">
        <v>46020</v>
      </c>
      <c r="H163" s="69">
        <v>7287</v>
      </c>
      <c r="I163" s="50">
        <f>Table1[[#This Row],[SỐ LƯỢNG ]]*1000</f>
        <v>9000</v>
      </c>
      <c r="J163" s="50">
        <v>71000</v>
      </c>
      <c r="K163" s="16">
        <f>Table1[[#This Row],[SỐ LƯỢNG ]]*Table1[[#This Row],[ĐƠN GIÁ /1 KG]]</f>
        <v>639000</v>
      </c>
      <c r="L163" s="50"/>
      <c r="M163" s="50"/>
      <c r="N163" s="50"/>
      <c r="O163" s="50"/>
      <c r="P163" s="50"/>
      <c r="Q163" s="50"/>
      <c r="R163" s="50"/>
      <c r="S163" s="50"/>
      <c r="T163" s="50">
        <v>200</v>
      </c>
      <c r="U163" s="50"/>
      <c r="V163" s="50"/>
      <c r="W163" s="50"/>
      <c r="X163" s="50"/>
      <c r="Y163" s="50"/>
      <c r="Z163" s="50"/>
      <c r="AA163" s="50"/>
      <c r="AB163" s="50"/>
      <c r="AC163" s="43">
        <v>2557.5</v>
      </c>
      <c r="AD163" s="49"/>
      <c r="AE163" s="49"/>
      <c r="AF163" s="49"/>
      <c r="AG163" s="49"/>
      <c r="AH163" s="49"/>
      <c r="AI163" s="49"/>
      <c r="AJ163" s="49"/>
      <c r="AK163" s="49"/>
      <c r="AL163" s="49"/>
      <c r="AM163" s="49"/>
      <c r="AN163" s="50"/>
      <c r="AO163" s="51">
        <f>Table1[[#This Row],[QUY ĐỔI GRAM]]-SUM(Table1[[#This Row],[XK ĐỒNG TÂM]:[XK LSX 8]])</f>
        <v>6242.5</v>
      </c>
      <c r="AP163" s="51">
        <f>Table1[[#This Row],[CÒN LẠI (gram)]]*Table1[[#This Row],[ĐƠN GIÁ /1 KG]]/1000</f>
        <v>443217.5</v>
      </c>
      <c r="AQ163" s="3" t="s">
        <v>275</v>
      </c>
      <c r="AR163" s="20"/>
      <c r="AS163" s="20"/>
      <c r="AT163" s="20"/>
      <c r="AU163" s="20"/>
    </row>
    <row r="164" spans="1:47" ht="27" customHeight="1" x14ac:dyDescent="0.35">
      <c r="A164" s="5">
        <v>161</v>
      </c>
      <c r="B164" s="66" t="s">
        <v>342</v>
      </c>
      <c r="C164" s="88"/>
      <c r="D164" s="200"/>
      <c r="E164" s="65" t="s">
        <v>17</v>
      </c>
      <c r="F164" s="49">
        <v>25</v>
      </c>
      <c r="G164" s="72">
        <v>46020</v>
      </c>
      <c r="H164" s="69">
        <v>7287</v>
      </c>
      <c r="I164" s="50">
        <f>Table1[[#This Row],[SỐ LƯỢNG ]]*1000</f>
        <v>25000</v>
      </c>
      <c r="J164" s="50">
        <v>102500</v>
      </c>
      <c r="K164" s="16">
        <f>Table1[[#This Row],[SỐ LƯỢNG ]]*Table1[[#This Row],[ĐƠN GIÁ /1 KG]]</f>
        <v>2562500</v>
      </c>
      <c r="L164" s="50"/>
      <c r="M164" s="50"/>
      <c r="N164" s="50"/>
      <c r="O164" s="50"/>
      <c r="P164" s="50"/>
      <c r="Q164" s="50"/>
      <c r="R164" s="50"/>
      <c r="S164" s="50"/>
      <c r="T164" s="50"/>
      <c r="U164" s="50"/>
      <c r="V164" s="50"/>
      <c r="W164" s="50"/>
      <c r="X164" s="50"/>
      <c r="Y164" s="50"/>
      <c r="Z164" s="50">
        <v>24000</v>
      </c>
      <c r="AA164" s="50"/>
      <c r="AB164" s="50"/>
      <c r="AC164" s="50"/>
      <c r="AD164" s="50"/>
      <c r="AE164" s="50"/>
      <c r="AF164" s="50"/>
      <c r="AG164" s="50"/>
      <c r="AH164" s="50"/>
      <c r="AI164" s="50"/>
      <c r="AJ164" s="50"/>
      <c r="AK164" s="50"/>
      <c r="AL164" s="50"/>
      <c r="AM164" s="50"/>
      <c r="AN164" s="50"/>
      <c r="AO164" s="51">
        <f>Table1[[#This Row],[QUY ĐỔI GRAM]]-SUM(Table1[[#This Row],[XK ĐỒNG TÂM]:[XK LSX 8]])</f>
        <v>1000</v>
      </c>
      <c r="AP164" s="51">
        <f>Table1[[#This Row],[CÒN LẠI (gram)]]*Table1[[#This Row],[ĐƠN GIÁ /1 KG]]/1000</f>
        <v>102500</v>
      </c>
      <c r="AQ164" s="3" t="s">
        <v>275</v>
      </c>
      <c r="AR164" s="20"/>
      <c r="AS164" s="20"/>
      <c r="AT164" s="20"/>
      <c r="AU164" s="20"/>
    </row>
    <row r="165" spans="1:47" ht="27" customHeight="1" x14ac:dyDescent="0.35">
      <c r="A165" s="5">
        <v>162</v>
      </c>
      <c r="B165" s="66" t="s">
        <v>343</v>
      </c>
      <c r="C165" s="88" t="s">
        <v>344</v>
      </c>
      <c r="D165" s="89" t="s">
        <v>345</v>
      </c>
      <c r="E165" s="65" t="s">
        <v>17</v>
      </c>
      <c r="F165" s="49">
        <v>30</v>
      </c>
      <c r="G165" s="72">
        <v>46020</v>
      </c>
      <c r="H165" s="69">
        <v>7287</v>
      </c>
      <c r="I165" s="50">
        <f>Table1[[#This Row],[SỐ LƯỢNG ]]*1000</f>
        <v>30000</v>
      </c>
      <c r="J165" s="50">
        <v>31000</v>
      </c>
      <c r="K165" s="16">
        <f>Table1[[#This Row],[SỐ LƯỢNG ]]*Table1[[#This Row],[ĐƠN GIÁ /1 KG]]</f>
        <v>930000</v>
      </c>
      <c r="L165" s="50"/>
      <c r="M165" s="50"/>
      <c r="N165" s="50"/>
      <c r="O165" s="50"/>
      <c r="P165" s="50"/>
      <c r="Q165" s="50"/>
      <c r="R165" s="50"/>
      <c r="S165" s="50"/>
      <c r="T165" s="50"/>
      <c r="U165" s="50"/>
      <c r="V165" s="50"/>
      <c r="W165" s="50"/>
      <c r="X165" s="50"/>
      <c r="Y165" s="50"/>
      <c r="Z165" s="50">
        <v>24000</v>
      </c>
      <c r="AA165" s="50"/>
      <c r="AB165" s="50"/>
      <c r="AC165" s="50"/>
      <c r="AD165" s="50">
        <v>2250</v>
      </c>
      <c r="AE165" s="50"/>
      <c r="AF165" s="50"/>
      <c r="AG165" s="50"/>
      <c r="AH165" s="50"/>
      <c r="AI165" s="50"/>
      <c r="AJ165" s="50"/>
      <c r="AK165" s="50"/>
      <c r="AL165" s="50"/>
      <c r="AM165" s="50"/>
      <c r="AN165" s="50"/>
      <c r="AO165" s="51">
        <f>Table1[[#This Row],[QUY ĐỔI GRAM]]-SUM(Table1[[#This Row],[XK ĐỒNG TÂM]:[XK LSX 8]])</f>
        <v>3750</v>
      </c>
      <c r="AP165" s="51">
        <f>Table1[[#This Row],[CÒN LẠI (gram)]]*Table1[[#This Row],[ĐƠN GIÁ /1 KG]]/1000</f>
        <v>116250</v>
      </c>
      <c r="AQ165" s="3" t="s">
        <v>275</v>
      </c>
      <c r="AR165" s="20"/>
      <c r="AS165" s="20"/>
      <c r="AT165" s="20"/>
      <c r="AU165" s="20"/>
    </row>
    <row r="166" spans="1:47" ht="27" customHeight="1" x14ac:dyDescent="0.35">
      <c r="A166" s="5">
        <v>163</v>
      </c>
      <c r="B166" s="66" t="s">
        <v>346</v>
      </c>
      <c r="C166" s="84" t="s">
        <v>348</v>
      </c>
      <c r="D166" s="84" t="s">
        <v>347</v>
      </c>
      <c r="E166" s="65" t="s">
        <v>17</v>
      </c>
      <c r="F166" s="49">
        <v>3</v>
      </c>
      <c r="G166" s="72">
        <v>46020</v>
      </c>
      <c r="H166" s="69">
        <v>1857</v>
      </c>
      <c r="I166" s="50">
        <f>Table1[[#This Row],[SỐ LƯỢNG ]]*1000</f>
        <v>3000</v>
      </c>
      <c r="J166" s="50">
        <v>1416000</v>
      </c>
      <c r="K166" s="16">
        <f>Table1[[#This Row],[SỐ LƯỢNG ]]*Table1[[#This Row],[ĐƠN GIÁ /1 KG]]</f>
        <v>4248000</v>
      </c>
      <c r="L166" s="50"/>
      <c r="M166" s="50"/>
      <c r="N166" s="50"/>
      <c r="O166" s="50"/>
      <c r="P166" s="50"/>
      <c r="Q166" s="50"/>
      <c r="R166" s="50"/>
      <c r="S166" s="50"/>
      <c r="T166" s="50"/>
      <c r="U166" s="50"/>
      <c r="V166" s="50"/>
      <c r="W166" s="50"/>
      <c r="X166" s="50">
        <v>3000</v>
      </c>
      <c r="Y166" s="50"/>
      <c r="Z166" s="50"/>
      <c r="AA166" s="50"/>
      <c r="AB166" s="50"/>
      <c r="AC166" s="50"/>
      <c r="AD166" s="50"/>
      <c r="AE166" s="50"/>
      <c r="AF166" s="50"/>
      <c r="AG166" s="50"/>
      <c r="AH166" s="50"/>
      <c r="AI166" s="50"/>
      <c r="AJ166" s="50"/>
      <c r="AK166" s="50"/>
      <c r="AL166" s="50"/>
      <c r="AM166" s="50"/>
      <c r="AN166" s="50"/>
      <c r="AO166" s="51">
        <f>Table1[[#This Row],[QUY ĐỔI GRAM]]-SUM(Table1[[#This Row],[XK ĐỒNG TÂM]:[XK LSX 8]])</f>
        <v>0</v>
      </c>
      <c r="AP166" s="51">
        <f>Table1[[#This Row],[CÒN LẠI (gram)]]*Table1[[#This Row],[ĐƠN GIÁ /1 KG]]/1000</f>
        <v>0</v>
      </c>
      <c r="AQ166" s="88" t="s">
        <v>349</v>
      </c>
      <c r="AR166" s="20"/>
      <c r="AS166" s="20"/>
      <c r="AT166" s="20"/>
      <c r="AU166" s="20"/>
    </row>
    <row r="167" spans="1:47" ht="27" customHeight="1" x14ac:dyDescent="0.35">
      <c r="A167" s="5">
        <v>164</v>
      </c>
      <c r="B167" s="66" t="s">
        <v>350</v>
      </c>
      <c r="C167" s="84" t="s">
        <v>352</v>
      </c>
      <c r="D167" s="84" t="s">
        <v>351</v>
      </c>
      <c r="E167" s="65" t="s">
        <v>17</v>
      </c>
      <c r="F167" s="49">
        <v>0.1</v>
      </c>
      <c r="G167" s="72">
        <v>46020</v>
      </c>
      <c r="H167" s="69">
        <v>1857</v>
      </c>
      <c r="I167" s="50">
        <f>Table1[[#This Row],[SỐ LƯỢNG ]]*1000</f>
        <v>100</v>
      </c>
      <c r="J167" s="50">
        <v>2750000</v>
      </c>
      <c r="K167" s="16">
        <f>Table1[[#This Row],[SỐ LƯỢNG ]]*Table1[[#This Row],[ĐƠN GIÁ /1 KG]]</f>
        <v>275000</v>
      </c>
      <c r="L167" s="50"/>
      <c r="M167" s="50"/>
      <c r="N167" s="50"/>
      <c r="O167" s="50"/>
      <c r="P167" s="50"/>
      <c r="Q167" s="50"/>
      <c r="R167" s="50"/>
      <c r="S167" s="50"/>
      <c r="T167" s="50"/>
      <c r="U167" s="50"/>
      <c r="V167" s="50"/>
      <c r="W167" s="50">
        <v>20.059999999999999</v>
      </c>
      <c r="X167" s="50"/>
      <c r="Y167" s="50"/>
      <c r="Z167" s="50"/>
      <c r="AA167" s="50"/>
      <c r="AB167" s="50"/>
      <c r="AC167" s="50"/>
      <c r="AD167" s="50"/>
      <c r="AE167" s="50"/>
      <c r="AF167" s="50"/>
      <c r="AG167" s="50"/>
      <c r="AH167" s="50">
        <v>40</v>
      </c>
      <c r="AI167" s="50"/>
      <c r="AJ167" s="50"/>
      <c r="AK167" s="50"/>
      <c r="AL167" s="50"/>
      <c r="AM167" s="50"/>
      <c r="AN167" s="50"/>
      <c r="AO167" s="51">
        <f>Table1[[#This Row],[QUY ĐỔI GRAM]]-SUM(Table1[[#This Row],[XK ĐỒNG TÂM]:[XK LSX 8]])</f>
        <v>39.94</v>
      </c>
      <c r="AP167" s="51">
        <f>Table1[[#This Row],[CÒN LẠI (gram)]]*Table1[[#This Row],[ĐƠN GIÁ /1 KG]]/1000</f>
        <v>109835</v>
      </c>
      <c r="AQ167" s="88" t="s">
        <v>349</v>
      </c>
      <c r="AR167" s="20"/>
      <c r="AS167" s="20"/>
      <c r="AT167" s="20"/>
      <c r="AU167" s="20"/>
    </row>
    <row r="168" spans="1:47" ht="27" customHeight="1" x14ac:dyDescent="0.35">
      <c r="A168" s="5">
        <v>165</v>
      </c>
      <c r="B168" s="66" t="s">
        <v>353</v>
      </c>
      <c r="C168" s="88"/>
      <c r="D168" s="84" t="s">
        <v>354</v>
      </c>
      <c r="E168" s="65" t="s">
        <v>17</v>
      </c>
      <c r="F168" s="49">
        <v>0.6</v>
      </c>
      <c r="G168" s="72">
        <v>46020</v>
      </c>
      <c r="H168" s="69">
        <v>1857</v>
      </c>
      <c r="I168" s="50">
        <f>Table1[[#This Row],[SỐ LƯỢNG ]]*1000</f>
        <v>600</v>
      </c>
      <c r="J168" s="50">
        <v>1160000</v>
      </c>
      <c r="K168" s="16">
        <f>Table1[[#This Row],[SỐ LƯỢNG ]]*Table1[[#This Row],[ĐƠN GIÁ /1 KG]]</f>
        <v>696000</v>
      </c>
      <c r="L168" s="50"/>
      <c r="M168" s="50"/>
      <c r="N168" s="50"/>
      <c r="O168" s="50"/>
      <c r="P168" s="50"/>
      <c r="Q168" s="50"/>
      <c r="R168" s="50"/>
      <c r="S168" s="50"/>
      <c r="T168" s="50"/>
      <c r="U168" s="50">
        <v>50</v>
      </c>
      <c r="V168" s="50"/>
      <c r="W168" s="50"/>
      <c r="X168" s="50"/>
      <c r="Y168" s="50">
        <v>100.45</v>
      </c>
      <c r="Z168" s="50"/>
      <c r="AA168" s="50"/>
      <c r="AB168" s="50"/>
      <c r="AC168" s="50"/>
      <c r="AD168" s="50"/>
      <c r="AE168" s="50"/>
      <c r="AF168" s="50"/>
      <c r="AG168" s="50"/>
      <c r="AH168" s="50"/>
      <c r="AI168" s="50"/>
      <c r="AJ168" s="50"/>
      <c r="AK168" s="50"/>
      <c r="AL168" s="50"/>
      <c r="AM168" s="50"/>
      <c r="AN168" s="50"/>
      <c r="AO168" s="51">
        <f>Table1[[#This Row],[QUY ĐỔI GRAM]]-SUM(Table1[[#This Row],[XK ĐỒNG TÂM]:[XK LSX 8]])</f>
        <v>449.55</v>
      </c>
      <c r="AP168" s="51">
        <f>Table1[[#This Row],[CÒN LẠI (gram)]]*Table1[[#This Row],[ĐƠN GIÁ /1 KG]]/1000</f>
        <v>521478</v>
      </c>
      <c r="AQ168" s="88" t="s">
        <v>349</v>
      </c>
      <c r="AR168" s="20"/>
      <c r="AS168" s="20"/>
      <c r="AT168" s="20"/>
      <c r="AU168" s="20"/>
    </row>
    <row r="169" spans="1:47" ht="27" customHeight="1" x14ac:dyDescent="0.35">
      <c r="A169" s="5">
        <v>166</v>
      </c>
      <c r="B169" s="66" t="s">
        <v>361</v>
      </c>
      <c r="C169" s="84" t="s">
        <v>363</v>
      </c>
      <c r="D169" s="89" t="s">
        <v>362</v>
      </c>
      <c r="E169" s="65" t="s">
        <v>17</v>
      </c>
      <c r="F169" s="49">
        <v>0.1</v>
      </c>
      <c r="G169" s="72">
        <v>46020</v>
      </c>
      <c r="H169" s="69">
        <v>2511</v>
      </c>
      <c r="I169" s="50">
        <f>Table1[[#This Row],[SỐ LƯỢNG ]]*1000</f>
        <v>100</v>
      </c>
      <c r="J169" s="50">
        <v>2700000</v>
      </c>
      <c r="K169" s="16">
        <f>Table1[[#This Row],[SỐ LƯỢNG ]]*Table1[[#This Row],[ĐƠN GIÁ /1 KG]]</f>
        <v>270000</v>
      </c>
      <c r="L169" s="50"/>
      <c r="M169" s="50"/>
      <c r="N169" s="50"/>
      <c r="O169" s="50"/>
      <c r="P169" s="50"/>
      <c r="Q169" s="50"/>
      <c r="R169" s="50"/>
      <c r="S169" s="50"/>
      <c r="T169" s="50"/>
      <c r="U169" s="50"/>
      <c r="V169" s="50"/>
      <c r="W169" s="112">
        <v>20.059999999999999</v>
      </c>
      <c r="X169" s="50">
        <v>30</v>
      </c>
      <c r="Y169" s="50"/>
      <c r="Z169" s="50"/>
      <c r="AA169" s="50"/>
      <c r="AB169" s="50"/>
      <c r="AC169" s="50"/>
      <c r="AD169" s="50"/>
      <c r="AE169" s="112">
        <v>40.520000000000003</v>
      </c>
      <c r="AF169" s="50"/>
      <c r="AG169" s="50"/>
      <c r="AH169" s="50"/>
      <c r="AI169" s="50"/>
      <c r="AJ169" s="50"/>
      <c r="AK169" s="50"/>
      <c r="AL169" s="50"/>
      <c r="AM169" s="50"/>
      <c r="AN169" s="50"/>
      <c r="AO169" s="121">
        <f>Table1[[#This Row],[QUY ĐỔI GRAM]]-SUM(Table1[[#This Row],[XK ĐỒNG TÂM]:[XK LSX 8]])</f>
        <v>9.4199999999999875</v>
      </c>
      <c r="AP169" s="51">
        <f>Table1[[#This Row],[CÒN LẠI (gram)]]*Table1[[#This Row],[ĐƠN GIÁ /1 KG]]/1000</f>
        <v>25433.999999999967</v>
      </c>
      <c r="AQ169" s="88" t="s">
        <v>364</v>
      </c>
      <c r="AR169" s="20"/>
      <c r="AS169" s="20"/>
      <c r="AT169" s="20"/>
      <c r="AU169" s="20"/>
    </row>
    <row r="170" spans="1:47" ht="27" customHeight="1" x14ac:dyDescent="0.35">
      <c r="A170" s="5">
        <v>167</v>
      </c>
      <c r="B170" s="66" t="s">
        <v>366</v>
      </c>
      <c r="C170" s="88"/>
      <c r="D170" s="89" t="s">
        <v>367</v>
      </c>
      <c r="E170" s="65" t="s">
        <v>17</v>
      </c>
      <c r="F170" s="49">
        <v>0.1</v>
      </c>
      <c r="G170" s="72">
        <v>46020</v>
      </c>
      <c r="H170" s="69">
        <v>3183</v>
      </c>
      <c r="I170" s="50">
        <f>Table1[[#This Row],[SỐ LƯỢNG ]]*1000</f>
        <v>100</v>
      </c>
      <c r="J170" s="50">
        <v>16000000</v>
      </c>
      <c r="K170" s="16">
        <f>Table1[[#This Row],[SỐ LƯỢNG ]]*Table1[[#This Row],[ĐƠN GIÁ /1 KG]]</f>
        <v>1600000</v>
      </c>
      <c r="L170" s="50"/>
      <c r="M170" s="50"/>
      <c r="N170" s="50"/>
      <c r="O170" s="50"/>
      <c r="P170" s="50"/>
      <c r="Q170" s="50"/>
      <c r="R170" s="50"/>
      <c r="S170" s="50"/>
      <c r="T170" s="50"/>
      <c r="U170" s="50"/>
      <c r="V170" s="50"/>
      <c r="W170" s="50"/>
      <c r="X170" s="50"/>
      <c r="Y170" s="50"/>
      <c r="Z170" s="50"/>
      <c r="AA170" s="50"/>
      <c r="AB170" s="50">
        <v>5.13</v>
      </c>
      <c r="AC170" s="50"/>
      <c r="AD170" s="50"/>
      <c r="AE170" s="50"/>
      <c r="AF170" s="50"/>
      <c r="AG170" s="50"/>
      <c r="AH170" s="50"/>
      <c r="AI170" s="50"/>
      <c r="AJ170" s="50"/>
      <c r="AK170" s="50"/>
      <c r="AL170" s="50"/>
      <c r="AM170" s="50"/>
      <c r="AN170" s="50"/>
      <c r="AO170" s="51">
        <f>Table1[[#This Row],[QUY ĐỔI GRAM]]-SUM(Table1[[#This Row],[XK ĐỒNG TÂM]:[XK LSX 8]])</f>
        <v>94.87</v>
      </c>
      <c r="AP170" s="51">
        <f>Table1[[#This Row],[CÒN LẠI (gram)]]*Table1[[#This Row],[ĐƠN GIÁ /1 KG]]/1000</f>
        <v>1517920</v>
      </c>
      <c r="AQ170" s="88" t="s">
        <v>269</v>
      </c>
      <c r="AR170" s="20"/>
      <c r="AS170" s="20"/>
      <c r="AT170" s="20"/>
      <c r="AU170" s="20"/>
    </row>
    <row r="171" spans="1:47" ht="27" customHeight="1" x14ac:dyDescent="0.35">
      <c r="A171" s="5">
        <v>168</v>
      </c>
      <c r="B171" s="66" t="s">
        <v>368</v>
      </c>
      <c r="C171" s="88"/>
      <c r="D171" s="89" t="s">
        <v>369</v>
      </c>
      <c r="E171" s="65" t="s">
        <v>17</v>
      </c>
      <c r="F171" s="49">
        <v>1.3</v>
      </c>
      <c r="G171" s="72">
        <v>46020</v>
      </c>
      <c r="H171" s="69">
        <v>3183</v>
      </c>
      <c r="I171" s="50">
        <f>Table1[[#This Row],[SỐ LƯỢNG ]]*1000</f>
        <v>1300</v>
      </c>
      <c r="J171" s="50">
        <v>3550000</v>
      </c>
      <c r="K171" s="16">
        <f>Table1[[#This Row],[SỐ LƯỢNG ]]*Table1[[#This Row],[ĐƠN GIÁ /1 KG]]</f>
        <v>4615000</v>
      </c>
      <c r="L171" s="50"/>
      <c r="M171" s="50"/>
      <c r="N171" s="50"/>
      <c r="O171" s="50"/>
      <c r="P171" s="50"/>
      <c r="Q171" s="50"/>
      <c r="R171" s="50"/>
      <c r="S171" s="50"/>
      <c r="T171" s="50"/>
      <c r="U171" s="50"/>
      <c r="V171" s="50"/>
      <c r="W171" s="50"/>
      <c r="X171" s="50"/>
      <c r="Y171" s="50"/>
      <c r="Z171" s="50"/>
      <c r="AA171" s="50"/>
      <c r="AB171" s="50">
        <v>1026</v>
      </c>
      <c r="AC171" s="113">
        <v>255.75</v>
      </c>
      <c r="AD171" s="112"/>
      <c r="AE171" s="112"/>
      <c r="AF171" s="112"/>
      <c r="AG171" s="112"/>
      <c r="AH171" s="112"/>
      <c r="AI171" s="112"/>
      <c r="AJ171" s="112"/>
      <c r="AK171" s="112"/>
      <c r="AL171" s="112"/>
      <c r="AM171" s="112"/>
      <c r="AN171" s="50"/>
      <c r="AO171" s="51">
        <f>Table1[[#This Row],[QUY ĐỔI GRAM]]-SUM(Table1[[#This Row],[XK ĐỒNG TÂM]:[XK LSX 8]])</f>
        <v>18.25</v>
      </c>
      <c r="AP171" s="51">
        <f>Table1[[#This Row],[CÒN LẠI (gram)]]*Table1[[#This Row],[ĐƠN GIÁ /1 KG]]/1000</f>
        <v>64787.5</v>
      </c>
      <c r="AQ171" s="88" t="s">
        <v>269</v>
      </c>
      <c r="AR171" s="20"/>
      <c r="AS171" s="20"/>
      <c r="AT171" s="20"/>
      <c r="AU171" s="20"/>
    </row>
    <row r="172" spans="1:47" ht="27" customHeight="1" x14ac:dyDescent="0.35">
      <c r="A172" s="5">
        <v>169</v>
      </c>
      <c r="B172" s="66" t="s">
        <v>370</v>
      </c>
      <c r="C172" s="84" t="s">
        <v>372</v>
      </c>
      <c r="D172" s="13" t="s">
        <v>371</v>
      </c>
      <c r="E172" s="65" t="s">
        <v>17</v>
      </c>
      <c r="F172" s="49">
        <v>0.1</v>
      </c>
      <c r="G172" s="72">
        <v>46020</v>
      </c>
      <c r="H172" s="69">
        <v>5421</v>
      </c>
      <c r="I172" s="50">
        <f>Table1[[#This Row],[SỐ LƯỢNG ]]*1000</f>
        <v>100</v>
      </c>
      <c r="J172" s="50">
        <v>2700000</v>
      </c>
      <c r="K172" s="16">
        <f>Table1[[#This Row],[SỐ LƯỢNG ]]*Table1[[#This Row],[ĐƠN GIÁ /1 KG]]</f>
        <v>270000</v>
      </c>
      <c r="L172" s="50"/>
      <c r="M172" s="50"/>
      <c r="N172" s="50"/>
      <c r="O172" s="50"/>
      <c r="P172" s="50"/>
      <c r="Q172" s="50"/>
      <c r="R172" s="50"/>
      <c r="S172" s="50"/>
      <c r="T172" s="50"/>
      <c r="U172" s="50"/>
      <c r="V172" s="50"/>
      <c r="W172" s="50"/>
      <c r="X172" s="50"/>
      <c r="Y172" s="50"/>
      <c r="Z172" s="50"/>
      <c r="AA172" s="50"/>
      <c r="AB172" s="50">
        <v>51.300000000000004</v>
      </c>
      <c r="AC172" s="50"/>
      <c r="AD172" s="50"/>
      <c r="AE172" s="50"/>
      <c r="AF172" s="50"/>
      <c r="AG172" s="50"/>
      <c r="AH172" s="50"/>
      <c r="AI172" s="50"/>
      <c r="AJ172" s="50"/>
      <c r="AK172" s="50"/>
      <c r="AL172" s="50"/>
      <c r="AM172" s="50"/>
      <c r="AN172" s="50"/>
      <c r="AO172" s="51">
        <f>Table1[[#This Row],[QUY ĐỔI GRAM]]-SUM(Table1[[#This Row],[XK ĐỒNG TÂM]:[XK LSX 8]])</f>
        <v>48.699999999999996</v>
      </c>
      <c r="AP172" s="51">
        <f>Table1[[#This Row],[CÒN LẠI (gram)]]*Table1[[#This Row],[ĐƠN GIÁ /1 KG]]/1000</f>
        <v>131489.99999999997</v>
      </c>
      <c r="AQ172" s="88" t="s">
        <v>20</v>
      </c>
      <c r="AR172" s="20"/>
      <c r="AS172" s="20"/>
      <c r="AT172" s="20"/>
      <c r="AU172" s="20"/>
    </row>
    <row r="173" spans="1:47" ht="27" customHeight="1" x14ac:dyDescent="0.35">
      <c r="A173" s="5">
        <v>170</v>
      </c>
      <c r="B173" s="66" t="s">
        <v>373</v>
      </c>
      <c r="C173" s="92" t="s">
        <v>375</v>
      </c>
      <c r="D173" s="91" t="s">
        <v>374</v>
      </c>
      <c r="E173" s="65" t="s">
        <v>17</v>
      </c>
      <c r="F173" s="49">
        <v>0.1</v>
      </c>
      <c r="G173" s="72">
        <v>46020</v>
      </c>
      <c r="H173" s="69">
        <v>5421</v>
      </c>
      <c r="I173" s="50">
        <f>Table1[[#This Row],[SỐ LƯỢNG ]]*1000</f>
        <v>100</v>
      </c>
      <c r="J173" s="50">
        <v>2000000</v>
      </c>
      <c r="K173" s="16">
        <f>Table1[[#This Row],[SỐ LƯỢNG ]]*Table1[[#This Row],[ĐƠN GIÁ /1 KG]]</f>
        <v>200000</v>
      </c>
      <c r="L173" s="50"/>
      <c r="M173" s="50"/>
      <c r="N173" s="50"/>
      <c r="O173" s="50"/>
      <c r="P173" s="50"/>
      <c r="Q173" s="50"/>
      <c r="R173" s="50"/>
      <c r="S173" s="50"/>
      <c r="T173" s="50"/>
      <c r="U173" s="50"/>
      <c r="V173" s="50"/>
      <c r="W173" s="50"/>
      <c r="X173" s="50">
        <v>30</v>
      </c>
      <c r="Y173" s="50"/>
      <c r="Z173" s="50"/>
      <c r="AA173" s="50"/>
      <c r="AB173" s="50"/>
      <c r="AC173" s="50"/>
      <c r="AD173" s="50"/>
      <c r="AE173" s="50"/>
      <c r="AF173" s="50"/>
      <c r="AG173" s="50"/>
      <c r="AH173" s="50"/>
      <c r="AI173" s="50"/>
      <c r="AJ173" s="50"/>
      <c r="AK173" s="50"/>
      <c r="AL173" s="50"/>
      <c r="AM173" s="50"/>
      <c r="AN173" s="50"/>
      <c r="AO173" s="51">
        <f>Table1[[#This Row],[QUY ĐỔI GRAM]]-SUM(Table1[[#This Row],[XK ĐỒNG TÂM]:[XK LSX 8]])</f>
        <v>70</v>
      </c>
      <c r="AP173" s="51">
        <f>Table1[[#This Row],[CÒN LẠI (gram)]]*Table1[[#This Row],[ĐƠN GIÁ /1 KG]]/1000</f>
        <v>140000</v>
      </c>
      <c r="AQ173" s="88" t="s">
        <v>20</v>
      </c>
      <c r="AR173" s="20"/>
      <c r="AS173" s="20"/>
      <c r="AT173" s="20"/>
      <c r="AU173" s="20"/>
    </row>
    <row r="174" spans="1:47" ht="27" customHeight="1" x14ac:dyDescent="0.35">
      <c r="A174" s="5">
        <v>171</v>
      </c>
      <c r="B174" s="66" t="s">
        <v>376</v>
      </c>
      <c r="C174" s="84" t="s">
        <v>377</v>
      </c>
      <c r="D174" s="84" t="s">
        <v>378</v>
      </c>
      <c r="E174" s="65" t="s">
        <v>17</v>
      </c>
      <c r="F174" s="49">
        <v>0.1</v>
      </c>
      <c r="G174" s="72">
        <v>46020</v>
      </c>
      <c r="H174" s="69">
        <v>5421</v>
      </c>
      <c r="I174" s="50">
        <f>Table1[[#This Row],[SỐ LƯỢNG ]]*1000</f>
        <v>100</v>
      </c>
      <c r="J174" s="50">
        <v>4850000</v>
      </c>
      <c r="K174" s="16">
        <f>Table1[[#This Row],[SỐ LƯỢNG ]]*Table1[[#This Row],[ĐƠN GIÁ /1 KG]]</f>
        <v>485000</v>
      </c>
      <c r="L174" s="50"/>
      <c r="M174" s="50"/>
      <c r="N174" s="50"/>
      <c r="O174" s="50"/>
      <c r="P174" s="50"/>
      <c r="Q174" s="50"/>
      <c r="R174" s="50"/>
      <c r="S174" s="50"/>
      <c r="T174" s="50"/>
      <c r="U174" s="50"/>
      <c r="V174" s="50"/>
      <c r="W174" s="50"/>
      <c r="X174" s="50"/>
      <c r="Y174" s="50">
        <v>10.045</v>
      </c>
      <c r="Z174" s="50"/>
      <c r="AA174" s="50"/>
      <c r="AB174" s="50"/>
      <c r="AC174" s="50"/>
      <c r="AD174" s="50"/>
      <c r="AE174" s="50"/>
      <c r="AF174" s="50"/>
      <c r="AG174" s="50"/>
      <c r="AH174" s="50"/>
      <c r="AI174" s="50"/>
      <c r="AJ174" s="50"/>
      <c r="AK174" s="50"/>
      <c r="AL174" s="50"/>
      <c r="AM174" s="50"/>
      <c r="AN174" s="50"/>
      <c r="AO174" s="51">
        <f>Table1[[#This Row],[QUY ĐỔI GRAM]]-SUM(Table1[[#This Row],[XK ĐỒNG TÂM]:[XK LSX 8]])</f>
        <v>89.954999999999998</v>
      </c>
      <c r="AP174" s="51">
        <f>Table1[[#This Row],[CÒN LẠI (gram)]]*Table1[[#This Row],[ĐƠN GIÁ /1 KG]]/1000</f>
        <v>436281.75</v>
      </c>
      <c r="AQ174" s="88" t="s">
        <v>20</v>
      </c>
      <c r="AR174" s="20"/>
      <c r="AS174" s="20"/>
      <c r="AT174" s="20"/>
      <c r="AU174" s="20"/>
    </row>
    <row r="175" spans="1:47" ht="27" customHeight="1" x14ac:dyDescent="0.35">
      <c r="A175" s="5">
        <v>172</v>
      </c>
      <c r="B175" s="66" t="s">
        <v>379</v>
      </c>
      <c r="C175" s="84" t="s">
        <v>381</v>
      </c>
      <c r="D175" s="84" t="s">
        <v>380</v>
      </c>
      <c r="E175" s="65" t="s">
        <v>17</v>
      </c>
      <c r="F175" s="49">
        <v>0.1</v>
      </c>
      <c r="G175" s="72">
        <v>46020</v>
      </c>
      <c r="H175" s="69">
        <v>5421</v>
      </c>
      <c r="I175" s="50">
        <f>Table1[[#This Row],[SỐ LƯỢNG ]]*1000</f>
        <v>100</v>
      </c>
      <c r="J175" s="50">
        <v>2800000</v>
      </c>
      <c r="K175" s="16">
        <f>Table1[[#This Row],[SỐ LƯỢNG ]]*Table1[[#This Row],[ĐƠN GIÁ /1 KG]]</f>
        <v>280000</v>
      </c>
      <c r="L175" s="50"/>
      <c r="M175" s="50"/>
      <c r="N175" s="50"/>
      <c r="O175" s="50"/>
      <c r="P175" s="50"/>
      <c r="Q175" s="50"/>
      <c r="R175" s="50"/>
      <c r="S175" s="50"/>
      <c r="T175" s="50"/>
      <c r="U175" s="50"/>
      <c r="V175" s="50"/>
      <c r="W175" s="50"/>
      <c r="X175" s="50"/>
      <c r="Y175" s="50"/>
      <c r="Z175" s="50"/>
      <c r="AA175" s="62">
        <v>3.1350000000000002</v>
      </c>
      <c r="AB175" s="50"/>
      <c r="AC175" s="50"/>
      <c r="AD175" s="50"/>
      <c r="AE175" s="50"/>
      <c r="AF175" s="50"/>
      <c r="AG175" s="50"/>
      <c r="AH175" s="50"/>
      <c r="AI175" s="50"/>
      <c r="AJ175" s="50"/>
      <c r="AK175" s="50"/>
      <c r="AL175" s="50"/>
      <c r="AM175" s="50"/>
      <c r="AN175" s="50"/>
      <c r="AO175" s="51">
        <f>Table1[[#This Row],[QUY ĐỔI GRAM]]-SUM(Table1[[#This Row],[XK ĐỒNG TÂM]:[XK LSX 8]])</f>
        <v>96.864999999999995</v>
      </c>
      <c r="AP175" s="51">
        <f>Table1[[#This Row],[CÒN LẠI (gram)]]*Table1[[#This Row],[ĐƠN GIÁ /1 KG]]/1000</f>
        <v>271222</v>
      </c>
      <c r="AQ175" s="88" t="s">
        <v>20</v>
      </c>
      <c r="AR175" s="20"/>
      <c r="AS175" s="20"/>
      <c r="AT175" s="20"/>
      <c r="AU175" s="20"/>
    </row>
    <row r="176" spans="1:47" ht="27" customHeight="1" x14ac:dyDescent="0.35">
      <c r="A176" s="5">
        <v>173</v>
      </c>
      <c r="B176" s="66" t="s">
        <v>219</v>
      </c>
      <c r="C176" s="84" t="s">
        <v>383</v>
      </c>
      <c r="D176" s="84" t="s">
        <v>382</v>
      </c>
      <c r="E176" s="65" t="s">
        <v>17</v>
      </c>
      <c r="F176" s="49">
        <v>0.1</v>
      </c>
      <c r="G176" s="72">
        <v>46020</v>
      </c>
      <c r="H176" s="69">
        <v>5421</v>
      </c>
      <c r="I176" s="50">
        <f>Table1[[#This Row],[SỐ LƯỢNG ]]*1000</f>
        <v>100</v>
      </c>
      <c r="J176" s="50">
        <v>2500000</v>
      </c>
      <c r="K176" s="16">
        <f>Table1[[#This Row],[SỐ LƯỢNG ]]*Table1[[#This Row],[ĐƠN GIÁ /1 KG]]</f>
        <v>250000</v>
      </c>
      <c r="L176" s="50"/>
      <c r="M176" s="50"/>
      <c r="N176" s="50"/>
      <c r="O176" s="50"/>
      <c r="P176" s="50"/>
      <c r="Q176" s="50"/>
      <c r="R176" s="50"/>
      <c r="S176" s="50"/>
      <c r="T176" s="50"/>
      <c r="U176" s="50"/>
      <c r="V176" s="50"/>
      <c r="W176" s="50"/>
      <c r="X176" s="50"/>
      <c r="Y176" s="50"/>
      <c r="Z176" s="50"/>
      <c r="AA176" s="50"/>
      <c r="AB176" s="50">
        <v>51.300000000000004</v>
      </c>
      <c r="AC176" s="50"/>
      <c r="AD176" s="50"/>
      <c r="AE176" s="50"/>
      <c r="AF176" s="50"/>
      <c r="AG176" s="50"/>
      <c r="AH176" s="50"/>
      <c r="AI176" s="50"/>
      <c r="AJ176" s="50"/>
      <c r="AK176" s="50"/>
      <c r="AL176" s="50"/>
      <c r="AM176" s="50"/>
      <c r="AN176" s="50"/>
      <c r="AO176" s="51">
        <f>Table1[[#This Row],[QUY ĐỔI GRAM]]-SUM(Table1[[#This Row],[XK ĐỒNG TÂM]:[XK LSX 8]])</f>
        <v>48.699999999999996</v>
      </c>
      <c r="AP176" s="51">
        <f>Table1[[#This Row],[CÒN LẠI (gram)]]*Table1[[#This Row],[ĐƠN GIÁ /1 KG]]/1000</f>
        <v>121749.99999999999</v>
      </c>
      <c r="AQ176" s="88" t="s">
        <v>20</v>
      </c>
      <c r="AR176" s="20"/>
      <c r="AS176" s="20"/>
      <c r="AT176" s="20"/>
      <c r="AU176" s="20"/>
    </row>
    <row r="177" spans="1:47" ht="36" customHeight="1" x14ac:dyDescent="0.35">
      <c r="A177" s="5">
        <v>174</v>
      </c>
      <c r="B177" s="66" t="s">
        <v>384</v>
      </c>
      <c r="C177" s="84" t="s">
        <v>386</v>
      </c>
      <c r="D177" s="93" t="s">
        <v>385</v>
      </c>
      <c r="E177" s="65" t="s">
        <v>17</v>
      </c>
      <c r="F177" s="49">
        <v>0.1</v>
      </c>
      <c r="G177" s="72">
        <v>46020</v>
      </c>
      <c r="H177" s="69">
        <v>5421</v>
      </c>
      <c r="I177" s="50">
        <f>Table1[[#This Row],[SỐ LƯỢNG ]]*1000</f>
        <v>100</v>
      </c>
      <c r="J177" s="50">
        <v>7900000</v>
      </c>
      <c r="K177" s="16">
        <f>Table1[[#This Row],[SỐ LƯỢNG ]]*Table1[[#This Row],[ĐƠN GIÁ /1 KG]]</f>
        <v>790000</v>
      </c>
      <c r="L177" s="50"/>
      <c r="M177" s="50"/>
      <c r="N177" s="50"/>
      <c r="O177" s="50"/>
      <c r="P177" s="50"/>
      <c r="Q177" s="50"/>
      <c r="R177" s="50"/>
      <c r="S177" s="50"/>
      <c r="T177" s="50"/>
      <c r="U177" s="50"/>
      <c r="V177" s="50">
        <v>60</v>
      </c>
      <c r="W177" s="50"/>
      <c r="X177" s="50"/>
      <c r="Y177" s="50"/>
      <c r="Z177" s="50"/>
      <c r="AA177" s="50"/>
      <c r="AB177" s="50"/>
      <c r="AC177" s="50"/>
      <c r="AD177" s="50"/>
      <c r="AE177" s="50"/>
      <c r="AF177" s="50"/>
      <c r="AG177" s="50"/>
      <c r="AH177" s="50"/>
      <c r="AI177" s="50"/>
      <c r="AJ177" s="50"/>
      <c r="AK177" s="50"/>
      <c r="AL177" s="50"/>
      <c r="AM177" s="50"/>
      <c r="AN177" s="50"/>
      <c r="AO177" s="51">
        <f>Table1[[#This Row],[QUY ĐỔI GRAM]]-SUM(Table1[[#This Row],[XK ĐỒNG TÂM]:[XK LSX 8]])</f>
        <v>40</v>
      </c>
      <c r="AP177" s="51">
        <f>Table1[[#This Row],[CÒN LẠI (gram)]]*Table1[[#This Row],[ĐƠN GIÁ /1 KG]]/1000</f>
        <v>316000</v>
      </c>
      <c r="AQ177" s="88" t="s">
        <v>20</v>
      </c>
      <c r="AR177" s="20"/>
      <c r="AS177" s="20"/>
      <c r="AT177" s="20"/>
      <c r="AU177" s="20"/>
    </row>
    <row r="178" spans="1:47" ht="27" customHeight="1" x14ac:dyDescent="0.35">
      <c r="A178" s="5">
        <v>175</v>
      </c>
      <c r="B178" s="66" t="s">
        <v>387</v>
      </c>
      <c r="C178" s="88"/>
      <c r="D178" s="3" t="s">
        <v>96</v>
      </c>
      <c r="E178" s="65" t="s">
        <v>17</v>
      </c>
      <c r="F178" s="49">
        <v>1</v>
      </c>
      <c r="G178" s="72">
        <v>46020</v>
      </c>
      <c r="H178" s="69">
        <v>5421</v>
      </c>
      <c r="I178" s="50">
        <f>Table1[[#This Row],[SỐ LƯỢNG ]]*1000</f>
        <v>1000</v>
      </c>
      <c r="J178" s="50">
        <v>480000</v>
      </c>
      <c r="K178" s="16">
        <f>Table1[[#This Row],[SỐ LƯỢNG ]]*Table1[[#This Row],[ĐƠN GIÁ /1 KG]]</f>
        <v>480000</v>
      </c>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1">
        <f>Table1[[#This Row],[QUY ĐỔI GRAM]]-SUM(Table1[[#This Row],[XK ĐỒNG TÂM]:[XK LSX 8]])</f>
        <v>1000</v>
      </c>
      <c r="AP178" s="51">
        <f>Table1[[#This Row],[CÒN LẠI (gram)]]*Table1[[#This Row],[ĐƠN GIÁ /1 KG]]/1000</f>
        <v>480000</v>
      </c>
      <c r="AQ178" s="88" t="s">
        <v>20</v>
      </c>
      <c r="AR178" s="20"/>
      <c r="AS178" s="20"/>
      <c r="AT178" s="20"/>
      <c r="AU178" s="20"/>
    </row>
    <row r="179" spans="1:47" ht="27" customHeight="1" x14ac:dyDescent="0.35">
      <c r="A179" s="5">
        <v>176</v>
      </c>
      <c r="B179" s="66" t="s">
        <v>212</v>
      </c>
      <c r="C179" s="88"/>
      <c r="D179" s="13" t="s">
        <v>388</v>
      </c>
      <c r="E179" s="65" t="s">
        <v>17</v>
      </c>
      <c r="F179" s="49">
        <v>0.3</v>
      </c>
      <c r="G179" s="72">
        <v>46020</v>
      </c>
      <c r="H179" s="69">
        <v>5421</v>
      </c>
      <c r="I179" s="50">
        <f>Table1[[#This Row],[SỐ LƯỢNG ]]*1000</f>
        <v>300</v>
      </c>
      <c r="J179" s="50">
        <v>5300000</v>
      </c>
      <c r="K179" s="16">
        <f>Table1[[#This Row],[SỐ LƯỢNG ]]*Table1[[#This Row],[ĐƠN GIÁ /1 KG]]</f>
        <v>1590000</v>
      </c>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1">
        <f>Table1[[#This Row],[QUY ĐỔI GRAM]]-SUM(Table1[[#This Row],[XK ĐỒNG TÂM]:[XK LSX 8]])</f>
        <v>300</v>
      </c>
      <c r="AP179" s="51">
        <f>Table1[[#This Row],[CÒN LẠI (gram)]]*Table1[[#This Row],[ĐƠN GIÁ /1 KG]]/1000</f>
        <v>1590000</v>
      </c>
      <c r="AQ179" s="88" t="s">
        <v>20</v>
      </c>
      <c r="AR179" s="20"/>
      <c r="AS179" s="20"/>
      <c r="AT179" s="20"/>
      <c r="AU179" s="20"/>
    </row>
    <row r="180" spans="1:47" ht="27" customHeight="1" x14ac:dyDescent="0.35">
      <c r="A180" s="5">
        <v>177</v>
      </c>
      <c r="B180" s="66" t="s">
        <v>389</v>
      </c>
      <c r="C180" s="88"/>
      <c r="D180" s="91" t="s">
        <v>390</v>
      </c>
      <c r="E180" s="65" t="s">
        <v>17</v>
      </c>
      <c r="F180" s="49">
        <v>0.1</v>
      </c>
      <c r="G180" s="72">
        <v>46017</v>
      </c>
      <c r="H180" s="69">
        <v>64</v>
      </c>
      <c r="I180" s="50">
        <f>Table1[[#This Row],[SỐ LƯỢNG ]]*1000</f>
        <v>100</v>
      </c>
      <c r="J180" s="50">
        <v>13500000</v>
      </c>
      <c r="K180" s="16">
        <f>Table1[[#This Row],[SỐ LƯỢNG ]]*Table1[[#This Row],[ĐƠN GIÁ /1 KG]]</f>
        <v>1350000</v>
      </c>
      <c r="L180" s="50"/>
      <c r="M180" s="50"/>
      <c r="N180" s="50"/>
      <c r="O180" s="50"/>
      <c r="P180" s="50"/>
      <c r="Q180" s="50"/>
      <c r="R180" s="50"/>
      <c r="S180" s="50"/>
      <c r="T180" s="50"/>
      <c r="U180" s="50"/>
      <c r="V180" s="50"/>
      <c r="W180" s="50"/>
      <c r="X180" s="50"/>
      <c r="Y180" s="50"/>
      <c r="Z180" s="50"/>
      <c r="AA180" s="50"/>
      <c r="AB180" s="50"/>
      <c r="AC180" s="112">
        <v>5.12</v>
      </c>
      <c r="AD180" s="112"/>
      <c r="AE180" s="112"/>
      <c r="AF180" s="112"/>
      <c r="AG180" s="112"/>
      <c r="AH180" s="112"/>
      <c r="AI180" s="112"/>
      <c r="AJ180" s="112"/>
      <c r="AK180" s="112"/>
      <c r="AL180" s="112"/>
      <c r="AM180" s="112"/>
      <c r="AN180" s="50"/>
      <c r="AO180" s="51">
        <f>Table1[[#This Row],[QUY ĐỔI GRAM]]-SUM(Table1[[#This Row],[XK ĐỒNG TÂM]:[XK LSX 8]])</f>
        <v>94.88</v>
      </c>
      <c r="AP180" s="51">
        <f>Table1[[#This Row],[CÒN LẠI (gram)]]*Table1[[#This Row],[ĐƠN GIÁ /1 KG]]/1000</f>
        <v>1280880</v>
      </c>
      <c r="AQ180" s="88" t="s">
        <v>391</v>
      </c>
      <c r="AR180" s="20"/>
      <c r="AS180" s="20"/>
      <c r="AT180" s="20"/>
      <c r="AU180" s="20"/>
    </row>
    <row r="181" spans="1:47" ht="27" customHeight="1" x14ac:dyDescent="0.35">
      <c r="A181" s="5">
        <v>178</v>
      </c>
      <c r="B181" s="66" t="s">
        <v>392</v>
      </c>
      <c r="C181" s="88"/>
      <c r="D181" s="89" t="s">
        <v>429</v>
      </c>
      <c r="E181" s="65" t="s">
        <v>17</v>
      </c>
      <c r="F181" s="49">
        <v>0.1</v>
      </c>
      <c r="G181" s="72">
        <v>46017</v>
      </c>
      <c r="H181" s="69">
        <v>64</v>
      </c>
      <c r="I181" s="50">
        <f>Table1[[#This Row],[SỐ LƯỢNG ]]*1000</f>
        <v>100</v>
      </c>
      <c r="J181" s="50">
        <v>3500000</v>
      </c>
      <c r="K181" s="16">
        <f>Table1[[#This Row],[SỐ LƯỢNG ]]*Table1[[#This Row],[ĐƠN GIÁ /1 KG]]</f>
        <v>350000</v>
      </c>
      <c r="L181" s="50"/>
      <c r="M181" s="50"/>
      <c r="N181" s="50"/>
      <c r="O181" s="50"/>
      <c r="P181" s="50"/>
      <c r="Q181" s="50"/>
      <c r="R181" s="50"/>
      <c r="S181" s="50"/>
      <c r="T181" s="50"/>
      <c r="U181" s="50"/>
      <c r="V181" s="50"/>
      <c r="W181" s="50"/>
      <c r="X181" s="50"/>
      <c r="Y181" s="50"/>
      <c r="Z181" s="50"/>
      <c r="AA181" s="50">
        <v>62.699999999999996</v>
      </c>
      <c r="AB181" s="50"/>
      <c r="AC181" s="50"/>
      <c r="AD181" s="50"/>
      <c r="AE181" s="50"/>
      <c r="AF181" s="50"/>
      <c r="AG181" s="50"/>
      <c r="AH181" s="50"/>
      <c r="AI181" s="50"/>
      <c r="AJ181" s="50"/>
      <c r="AK181" s="50"/>
      <c r="AL181" s="50"/>
      <c r="AM181" s="50"/>
      <c r="AN181" s="50"/>
      <c r="AO181" s="51">
        <f>Table1[[#This Row],[QUY ĐỔI GRAM]]-SUM(Table1[[#This Row],[XK ĐỒNG TÂM]:[XK LSX 8]])</f>
        <v>37.300000000000004</v>
      </c>
      <c r="AP181" s="51">
        <f>Table1[[#This Row],[CÒN LẠI (gram)]]*Table1[[#This Row],[ĐƠN GIÁ /1 KG]]/1000</f>
        <v>130550.00000000001</v>
      </c>
      <c r="AQ181" s="88" t="s">
        <v>391</v>
      </c>
      <c r="AR181" s="20"/>
      <c r="AS181" s="20"/>
      <c r="AT181" s="20"/>
      <c r="AU181" s="20"/>
    </row>
    <row r="182" spans="1:47" ht="27" customHeight="1" x14ac:dyDescent="0.35">
      <c r="A182" s="5">
        <v>179</v>
      </c>
      <c r="B182" s="66" t="s">
        <v>393</v>
      </c>
      <c r="C182" s="17" t="s">
        <v>395</v>
      </c>
      <c r="D182" s="17" t="s">
        <v>394</v>
      </c>
      <c r="E182" s="65" t="s">
        <v>17</v>
      </c>
      <c r="F182" s="49">
        <v>5</v>
      </c>
      <c r="G182" s="72">
        <v>46020</v>
      </c>
      <c r="H182" s="69">
        <v>13721</v>
      </c>
      <c r="I182" s="50">
        <f>Table1[[#This Row],[SỐ LƯỢNG ]]*1000</f>
        <v>5000</v>
      </c>
      <c r="J182" s="50">
        <v>420000</v>
      </c>
      <c r="K182" s="16">
        <f>Table1[[#This Row],[SỐ LƯỢNG ]]*Table1[[#This Row],[ĐƠN GIÁ /1 KG]]</f>
        <v>2100000</v>
      </c>
      <c r="L182" s="50"/>
      <c r="M182" s="50"/>
      <c r="N182" s="50"/>
      <c r="O182" s="50"/>
      <c r="P182" s="50"/>
      <c r="Q182" s="50"/>
      <c r="R182" s="50"/>
      <c r="S182" s="50"/>
      <c r="T182" s="50">
        <v>1200</v>
      </c>
      <c r="U182" s="50">
        <v>500</v>
      </c>
      <c r="V182" s="50"/>
      <c r="W182" s="50"/>
      <c r="X182" s="50"/>
      <c r="Y182" s="50">
        <v>2009</v>
      </c>
      <c r="Z182" s="50"/>
      <c r="AA182" s="50"/>
      <c r="AB182" s="50"/>
      <c r="AC182" s="50"/>
      <c r="AD182" s="50"/>
      <c r="AE182" s="50"/>
      <c r="AF182" s="50"/>
      <c r="AG182" s="50"/>
      <c r="AH182" s="50"/>
      <c r="AI182" s="50"/>
      <c r="AJ182" s="50"/>
      <c r="AK182" s="50"/>
      <c r="AL182" s="50"/>
      <c r="AM182" s="50"/>
      <c r="AN182" s="50"/>
      <c r="AO182" s="51">
        <f>Table1[[#This Row],[QUY ĐỔI GRAM]]-SUM(Table1[[#This Row],[XK ĐỒNG TÂM]:[XK LSX 8]])</f>
        <v>1291</v>
      </c>
      <c r="AP182" s="51">
        <f>Table1[[#This Row],[CÒN LẠI (gram)]]*Table1[[#This Row],[ĐƠN GIÁ /1 KG]]/1000</f>
        <v>542220</v>
      </c>
      <c r="AQ182" s="88" t="s">
        <v>396</v>
      </c>
      <c r="AR182" s="20"/>
      <c r="AS182" s="20"/>
      <c r="AT182" s="20"/>
      <c r="AU182" s="20"/>
    </row>
    <row r="183" spans="1:47" ht="27" customHeight="1" x14ac:dyDescent="0.35">
      <c r="A183" s="5">
        <v>180</v>
      </c>
      <c r="B183" s="66" t="s">
        <v>453</v>
      </c>
      <c r="C183" s="88"/>
      <c r="D183" s="89" t="s">
        <v>419</v>
      </c>
      <c r="E183" s="65" t="s">
        <v>17</v>
      </c>
      <c r="F183" s="49">
        <v>1</v>
      </c>
      <c r="G183" s="72">
        <v>46020</v>
      </c>
      <c r="H183" s="69">
        <v>13721</v>
      </c>
      <c r="I183" s="50">
        <f>Table1[[#This Row],[SỐ LƯỢNG ]]*1000</f>
        <v>1000</v>
      </c>
      <c r="J183" s="50">
        <v>560000</v>
      </c>
      <c r="K183" s="16">
        <f>Table1[[#This Row],[SỐ LƯỢNG ]]*Table1[[#This Row],[ĐƠN GIÁ /1 KG]]</f>
        <v>560000</v>
      </c>
      <c r="L183" s="50"/>
      <c r="M183" s="50"/>
      <c r="N183" s="50"/>
      <c r="O183" s="50"/>
      <c r="P183" s="50"/>
      <c r="Q183" s="50"/>
      <c r="R183" s="50"/>
      <c r="S183" s="50"/>
      <c r="T183" s="50"/>
      <c r="U183" s="50"/>
      <c r="V183" s="50"/>
      <c r="W183" s="50"/>
      <c r="X183" s="50"/>
      <c r="Y183" s="50"/>
      <c r="Z183" s="50"/>
      <c r="AA183" s="50">
        <v>227</v>
      </c>
      <c r="AB183" s="50"/>
      <c r="AC183" s="50"/>
      <c r="AD183" s="50">
        <v>75</v>
      </c>
      <c r="AE183" s="50"/>
      <c r="AF183" s="50"/>
      <c r="AG183" s="50"/>
      <c r="AH183" s="50"/>
      <c r="AI183" s="50"/>
      <c r="AJ183" s="50"/>
      <c r="AK183" s="50"/>
      <c r="AL183" s="50"/>
      <c r="AM183" s="50"/>
      <c r="AN183" s="50"/>
      <c r="AO183" s="51">
        <f>Table1[[#This Row],[QUY ĐỔI GRAM]]-SUM(Table1[[#This Row],[XK ĐỒNG TÂM]:[XK LSX 8]])</f>
        <v>698</v>
      </c>
      <c r="AP183" s="51">
        <f>Table1[[#This Row],[CÒN LẠI (gram)]]*Table1[[#This Row],[ĐƠN GIÁ /1 KG]]/1000</f>
        <v>390880</v>
      </c>
      <c r="AQ183" s="88" t="s">
        <v>396</v>
      </c>
      <c r="AR183" s="20"/>
      <c r="AS183" s="20"/>
      <c r="AT183" s="20"/>
      <c r="AU183" s="20"/>
    </row>
    <row r="184" spans="1:47" ht="27" customHeight="1" x14ac:dyDescent="0.35">
      <c r="A184" s="5">
        <v>181</v>
      </c>
      <c r="B184" s="66" t="s">
        <v>397</v>
      </c>
      <c r="C184" s="3" t="s">
        <v>403</v>
      </c>
      <c r="D184" s="3" t="s">
        <v>402</v>
      </c>
      <c r="E184" s="65" t="s">
        <v>17</v>
      </c>
      <c r="F184" s="49">
        <v>0.5</v>
      </c>
      <c r="G184" s="72">
        <v>46020</v>
      </c>
      <c r="H184" s="69">
        <v>13721</v>
      </c>
      <c r="I184" s="50">
        <f>Table1[[#This Row],[SỐ LƯỢNG ]]*1000</f>
        <v>500</v>
      </c>
      <c r="J184" s="50">
        <v>2000000</v>
      </c>
      <c r="K184" s="16">
        <f>Table1[[#This Row],[SỐ LƯỢNG ]]*Table1[[#This Row],[ĐƠN GIÁ /1 KG]]</f>
        <v>1000000</v>
      </c>
      <c r="L184" s="50"/>
      <c r="M184" s="50"/>
      <c r="N184" s="50"/>
      <c r="O184" s="50"/>
      <c r="P184" s="50"/>
      <c r="Q184" s="50"/>
      <c r="R184" s="50"/>
      <c r="S184" s="50"/>
      <c r="T184" s="50"/>
      <c r="U184" s="50"/>
      <c r="V184" s="50"/>
      <c r="W184" s="50"/>
      <c r="X184" s="50"/>
      <c r="Y184" s="50">
        <v>10.045</v>
      </c>
      <c r="Z184" s="50"/>
      <c r="AA184" s="50"/>
      <c r="AB184" s="50"/>
      <c r="AC184" s="50"/>
      <c r="AD184" s="50"/>
      <c r="AE184" s="50"/>
      <c r="AF184" s="50"/>
      <c r="AG184" s="50"/>
      <c r="AH184" s="50"/>
      <c r="AI184" s="50"/>
      <c r="AJ184" s="50"/>
      <c r="AK184" s="50"/>
      <c r="AL184" s="50"/>
      <c r="AM184" s="50"/>
      <c r="AN184" s="50"/>
      <c r="AO184" s="51">
        <f>Table1[[#This Row],[QUY ĐỔI GRAM]]-SUM(Table1[[#This Row],[XK ĐỒNG TÂM]:[XK LSX 8]])</f>
        <v>489.95499999999998</v>
      </c>
      <c r="AP184" s="51">
        <f>Table1[[#This Row],[CÒN LẠI (gram)]]*Table1[[#This Row],[ĐƠN GIÁ /1 KG]]/1000</f>
        <v>979910</v>
      </c>
      <c r="AQ184" s="88" t="s">
        <v>396</v>
      </c>
      <c r="AR184" s="20"/>
      <c r="AS184" s="20"/>
      <c r="AT184" s="20"/>
      <c r="AU184" s="20"/>
    </row>
    <row r="185" spans="1:47" ht="27" customHeight="1" x14ac:dyDescent="0.35">
      <c r="A185" s="5">
        <v>182</v>
      </c>
      <c r="B185" s="66" t="s">
        <v>398</v>
      </c>
      <c r="C185" s="3" t="s">
        <v>405</v>
      </c>
      <c r="D185" s="3" t="s">
        <v>404</v>
      </c>
      <c r="E185" s="65" t="s">
        <v>17</v>
      </c>
      <c r="F185" s="49">
        <v>3</v>
      </c>
      <c r="G185" s="72">
        <v>46020</v>
      </c>
      <c r="H185" s="69">
        <v>13721</v>
      </c>
      <c r="I185" s="50">
        <f>Table1[[#This Row],[SỐ LƯỢNG ]]*1000</f>
        <v>3000</v>
      </c>
      <c r="J185" s="50">
        <v>420000</v>
      </c>
      <c r="K185" s="16">
        <f>Table1[[#This Row],[SỐ LƯỢNG ]]*Table1[[#This Row],[ĐƠN GIÁ /1 KG]]</f>
        <v>1260000</v>
      </c>
      <c r="L185" s="50"/>
      <c r="M185" s="50"/>
      <c r="N185" s="50"/>
      <c r="O185" s="50"/>
      <c r="P185" s="50"/>
      <c r="Q185" s="50"/>
      <c r="R185" s="50"/>
      <c r="S185" s="50"/>
      <c r="T185" s="50"/>
      <c r="U185" s="50">
        <v>500</v>
      </c>
      <c r="V185" s="50"/>
      <c r="W185" s="50"/>
      <c r="X185" s="50"/>
      <c r="Y185" s="50">
        <v>2009</v>
      </c>
      <c r="Z185" s="50"/>
      <c r="AA185" s="50"/>
      <c r="AB185" s="50"/>
      <c r="AC185" s="50"/>
      <c r="AD185" s="50"/>
      <c r="AE185" s="50"/>
      <c r="AF185" s="50"/>
      <c r="AG185" s="50"/>
      <c r="AH185" s="50"/>
      <c r="AI185" s="50"/>
      <c r="AJ185" s="50"/>
      <c r="AK185" s="50"/>
      <c r="AL185" s="50"/>
      <c r="AM185" s="50"/>
      <c r="AN185" s="50"/>
      <c r="AO185" s="51">
        <f>Table1[[#This Row],[QUY ĐỔI GRAM]]-SUM(Table1[[#This Row],[XK ĐỒNG TÂM]:[XK LSX 8]])</f>
        <v>491</v>
      </c>
      <c r="AP185" s="51">
        <f>Table1[[#This Row],[CÒN LẠI (gram)]]*Table1[[#This Row],[ĐƠN GIÁ /1 KG]]/1000</f>
        <v>206220</v>
      </c>
      <c r="AQ185" s="88" t="s">
        <v>396</v>
      </c>
      <c r="AR185" s="20"/>
      <c r="AS185" s="20"/>
      <c r="AT185" s="20"/>
      <c r="AU185" s="20"/>
    </row>
    <row r="186" spans="1:47" ht="27" customHeight="1" x14ac:dyDescent="0.35">
      <c r="A186" s="5">
        <v>183</v>
      </c>
      <c r="B186" s="66" t="s">
        <v>399</v>
      </c>
      <c r="C186" s="3" t="s">
        <v>407</v>
      </c>
      <c r="D186" s="89" t="s">
        <v>406</v>
      </c>
      <c r="E186" s="65" t="s">
        <v>17</v>
      </c>
      <c r="F186" s="49">
        <v>1</v>
      </c>
      <c r="G186" s="72">
        <v>46020</v>
      </c>
      <c r="H186" s="69">
        <v>13721</v>
      </c>
      <c r="I186" s="50">
        <f>Table1[[#This Row],[SỐ LƯỢNG ]]*1000</f>
        <v>1000</v>
      </c>
      <c r="J186" s="50">
        <v>560000</v>
      </c>
      <c r="K186" s="16">
        <f>Table1[[#This Row],[SỐ LƯỢNG ]]*Table1[[#This Row],[ĐƠN GIÁ /1 KG]]</f>
        <v>560000</v>
      </c>
      <c r="L186" s="50"/>
      <c r="M186" s="50"/>
      <c r="N186" s="50"/>
      <c r="O186" s="50"/>
      <c r="P186" s="50"/>
      <c r="Q186" s="50"/>
      <c r="R186" s="50"/>
      <c r="S186" s="50"/>
      <c r="T186" s="50"/>
      <c r="U186" s="50"/>
      <c r="V186" s="50"/>
      <c r="W186" s="50">
        <v>200.60000000000002</v>
      </c>
      <c r="X186" s="50"/>
      <c r="Y186" s="50"/>
      <c r="Z186" s="50"/>
      <c r="AA186" s="50"/>
      <c r="AB186" s="50"/>
      <c r="AC186" s="50"/>
      <c r="AD186" s="50"/>
      <c r="AE186" s="50"/>
      <c r="AF186" s="50"/>
      <c r="AG186" s="50"/>
      <c r="AH186" s="50"/>
      <c r="AI186" s="50"/>
      <c r="AJ186" s="50"/>
      <c r="AK186" s="50"/>
      <c r="AL186" s="50"/>
      <c r="AM186" s="50"/>
      <c r="AN186" s="50"/>
      <c r="AO186" s="51">
        <f>Table1[[#This Row],[QUY ĐỔI GRAM]]-SUM(Table1[[#This Row],[XK ĐỒNG TÂM]:[XK LSX 8]])</f>
        <v>799.4</v>
      </c>
      <c r="AP186" s="51">
        <f>Table1[[#This Row],[CÒN LẠI (gram)]]*Table1[[#This Row],[ĐƠN GIÁ /1 KG]]/1000</f>
        <v>447664</v>
      </c>
      <c r="AQ186" s="88" t="s">
        <v>396</v>
      </c>
      <c r="AR186" s="20"/>
      <c r="AS186" s="20"/>
      <c r="AT186" s="20"/>
      <c r="AU186" s="20"/>
    </row>
    <row r="187" spans="1:47" ht="27" customHeight="1" x14ac:dyDescent="0.35">
      <c r="A187" s="5">
        <v>184</v>
      </c>
      <c r="B187" s="66" t="s">
        <v>204</v>
      </c>
      <c r="C187" s="88"/>
      <c r="D187" s="3" t="s">
        <v>258</v>
      </c>
      <c r="E187" s="65" t="s">
        <v>17</v>
      </c>
      <c r="F187" s="49">
        <v>3</v>
      </c>
      <c r="G187" s="72">
        <v>46020</v>
      </c>
      <c r="H187" s="69">
        <v>13721</v>
      </c>
      <c r="I187" s="50">
        <f>Table1[[#This Row],[SỐ LƯỢNG ]]*1000</f>
        <v>3000</v>
      </c>
      <c r="J187" s="50">
        <v>150000</v>
      </c>
      <c r="K187" s="16">
        <f>Table1[[#This Row],[SỐ LƯỢNG ]]*Table1[[#This Row],[ĐƠN GIÁ /1 KG]]</f>
        <v>450000</v>
      </c>
      <c r="L187" s="50"/>
      <c r="M187" s="50"/>
      <c r="N187" s="50"/>
      <c r="O187" s="50"/>
      <c r="P187" s="50"/>
      <c r="Q187" s="50"/>
      <c r="R187" s="50"/>
      <c r="S187" s="50"/>
      <c r="T187" s="50"/>
      <c r="U187" s="50"/>
      <c r="V187" s="50"/>
      <c r="W187" s="49">
        <v>100.30000000000001</v>
      </c>
      <c r="X187" s="50"/>
      <c r="Y187" s="50"/>
      <c r="Z187" s="50">
        <v>900</v>
      </c>
      <c r="AA187" s="112">
        <v>156.75</v>
      </c>
      <c r="AB187" s="49">
        <v>256.5</v>
      </c>
      <c r="AC187" s="113">
        <v>255.75</v>
      </c>
      <c r="AD187" s="112">
        <v>30</v>
      </c>
      <c r="AE187" s="112">
        <v>101.3</v>
      </c>
      <c r="AF187" s="112"/>
      <c r="AG187" s="112"/>
      <c r="AH187" s="112">
        <v>200</v>
      </c>
      <c r="AI187" s="112"/>
      <c r="AJ187" s="112"/>
      <c r="AK187" s="112"/>
      <c r="AL187" s="112"/>
      <c r="AM187" s="112"/>
      <c r="AN187" s="50"/>
      <c r="AO187" s="121">
        <f>Table1[[#This Row],[QUY ĐỔI GRAM]]-SUM(Table1[[#This Row],[XK ĐỒNG TÂM]:[XK LSX 8]])</f>
        <v>999.40000000000009</v>
      </c>
      <c r="AP187" s="51">
        <f>Table1[[#This Row],[CÒN LẠI (gram)]]*Table1[[#This Row],[ĐƠN GIÁ /1 KG]]/1000</f>
        <v>149910</v>
      </c>
      <c r="AQ187" s="88" t="s">
        <v>396</v>
      </c>
      <c r="AR187" s="20"/>
      <c r="AS187" s="20"/>
      <c r="AT187" s="20"/>
      <c r="AU187" s="20"/>
    </row>
    <row r="188" spans="1:47" ht="27" customHeight="1" x14ac:dyDescent="0.35">
      <c r="A188" s="5">
        <v>185</v>
      </c>
      <c r="B188" s="94" t="s">
        <v>443</v>
      </c>
      <c r="C188" s="88"/>
      <c r="D188" s="89"/>
      <c r="E188" s="65" t="s">
        <v>24</v>
      </c>
      <c r="F188" s="49">
        <v>2800</v>
      </c>
      <c r="G188" s="72">
        <v>46020</v>
      </c>
      <c r="H188" s="69">
        <v>50</v>
      </c>
      <c r="I188" s="50"/>
      <c r="J188" s="50">
        <v>5370</v>
      </c>
      <c r="K188" s="16">
        <f>Table1[[#This Row],[SỐ LƯỢNG ]]*Table1[[#This Row],[ĐƠN GIÁ /1 KG]]</f>
        <v>15036000</v>
      </c>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1">
        <f>Table1[[#This Row],[SỐ LƯỢNG ]]-SUM(Table1[[#This Row],[XK ĐỒNG TÂM]:[XK LSX 8]])</f>
        <v>2800</v>
      </c>
      <c r="AP188" s="51">
        <f>Table1[[#This Row],[CÒN LẠI (gram)]]*Table1[[#This Row],[ĐƠN GIÁ /1 KG]]</f>
        <v>15036000</v>
      </c>
      <c r="AQ188" s="88" t="s">
        <v>400</v>
      </c>
      <c r="AR188" s="20"/>
      <c r="AS188" s="20"/>
      <c r="AT188" s="20"/>
      <c r="AU188" s="20"/>
    </row>
    <row r="189" spans="1:47" ht="27" customHeight="1" x14ac:dyDescent="0.35">
      <c r="A189" s="5">
        <v>186</v>
      </c>
      <c r="B189" s="94" t="s">
        <v>444</v>
      </c>
      <c r="C189" s="88"/>
      <c r="D189" s="89"/>
      <c r="E189" s="65" t="s">
        <v>24</v>
      </c>
      <c r="F189" s="49">
        <v>1650</v>
      </c>
      <c r="G189" s="72">
        <v>46020</v>
      </c>
      <c r="H189" s="69">
        <v>50</v>
      </c>
      <c r="I189" s="50"/>
      <c r="J189" s="50">
        <v>5750</v>
      </c>
      <c r="K189" s="16">
        <f>Table1[[#This Row],[SỐ LƯỢNG ]]*Table1[[#This Row],[ĐƠN GIÁ /1 KG]]</f>
        <v>9487500</v>
      </c>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1">
        <f>Table1[[#This Row],[SỐ LƯỢNG ]]-SUM(Table1[[#This Row],[XK ĐỒNG TÂM]:[XK LSX 8]])</f>
        <v>1650</v>
      </c>
      <c r="AP189" s="51">
        <f>Table1[[#This Row],[CÒN LẠI (gram)]]*Table1[[#This Row],[ĐƠN GIÁ /1 KG]]</f>
        <v>9487500</v>
      </c>
      <c r="AQ189" s="88" t="s">
        <v>400</v>
      </c>
      <c r="AR189" s="20"/>
      <c r="AS189" s="20"/>
      <c r="AT189" s="20"/>
      <c r="AU189" s="20"/>
    </row>
    <row r="190" spans="1:47" ht="27" customHeight="1" x14ac:dyDescent="0.35">
      <c r="A190" s="5">
        <v>187</v>
      </c>
      <c r="B190" s="94" t="s">
        <v>445</v>
      </c>
      <c r="C190" s="88"/>
      <c r="D190" s="89"/>
      <c r="E190" s="65" t="s">
        <v>24</v>
      </c>
      <c r="F190" s="49">
        <v>4850</v>
      </c>
      <c r="G190" s="72">
        <v>46020</v>
      </c>
      <c r="H190" s="69">
        <v>50</v>
      </c>
      <c r="I190" s="50"/>
      <c r="J190" s="50">
        <v>5900</v>
      </c>
      <c r="K190" s="16">
        <f>Table1[[#This Row],[SỐ LƯỢNG ]]*Table1[[#This Row],[ĐƠN GIÁ /1 KG]]</f>
        <v>28615000</v>
      </c>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1">
        <f>Table1[[#This Row],[SỐ LƯỢNG ]]-SUM(Table1[[#This Row],[XK ĐỒNG TÂM]:[XK LSX 8]])</f>
        <v>4850</v>
      </c>
      <c r="AP190" s="51">
        <f>Table1[[#This Row],[CÒN LẠI (gram)]]*Table1[[#This Row],[ĐƠN GIÁ /1 KG]]</f>
        <v>28615000</v>
      </c>
      <c r="AQ190" s="88" t="s">
        <v>400</v>
      </c>
      <c r="AR190" s="20"/>
      <c r="AS190" s="20"/>
      <c r="AT190" s="20"/>
      <c r="AU190" s="20"/>
    </row>
    <row r="191" spans="1:47" ht="27" customHeight="1" x14ac:dyDescent="0.35">
      <c r="A191" s="5">
        <v>188</v>
      </c>
      <c r="B191" s="66" t="s">
        <v>42</v>
      </c>
      <c r="C191" s="88"/>
      <c r="D191" s="115" t="s">
        <v>43</v>
      </c>
      <c r="E191" s="65" t="s">
        <v>17</v>
      </c>
      <c r="F191" s="49">
        <v>0.2</v>
      </c>
      <c r="G191" s="72">
        <v>46021</v>
      </c>
      <c r="H191" s="69">
        <v>1090</v>
      </c>
      <c r="I191" s="50">
        <f>Table1[[#This Row],[SỐ LƯỢNG ]]*1000</f>
        <v>200</v>
      </c>
      <c r="J191" s="50">
        <v>5000000</v>
      </c>
      <c r="K191" s="16">
        <f>Table1[[#This Row],[SỐ LƯỢNG ]]*Table1[[#This Row],[ĐƠN GIÁ /1 KG]]</f>
        <v>1000000</v>
      </c>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1">
        <f>Table1[[#This Row],[QUY ĐỔI GRAM]]-SUM(Table1[[#This Row],[XK ĐỒNG TÂM]:[XK LSX 8]])</f>
        <v>200</v>
      </c>
      <c r="AP191" s="51">
        <f>Table1[[#This Row],[CÒN LẠI (gram)]]*Table1[[#This Row],[ĐƠN GIÁ /1 KG]]/1000</f>
        <v>1000000</v>
      </c>
      <c r="AQ191" s="88" t="s">
        <v>22</v>
      </c>
      <c r="AR191" s="20"/>
      <c r="AS191" s="20"/>
      <c r="AT191" s="20"/>
      <c r="AU191" s="20"/>
    </row>
    <row r="192" spans="1:47" ht="27" customHeight="1" x14ac:dyDescent="0.35">
      <c r="A192" s="5">
        <v>189</v>
      </c>
      <c r="B192" s="95" t="s">
        <v>36</v>
      </c>
      <c r="C192" s="88"/>
      <c r="D192" s="89" t="s">
        <v>21</v>
      </c>
      <c r="E192" s="65" t="s">
        <v>17</v>
      </c>
      <c r="F192" s="49">
        <v>0.6</v>
      </c>
      <c r="G192" s="72">
        <v>46021</v>
      </c>
      <c r="H192" s="69">
        <v>1090</v>
      </c>
      <c r="I192" s="50">
        <f>Table1[[#This Row],[SỐ LƯỢNG ]]*1000</f>
        <v>600</v>
      </c>
      <c r="J192" s="50">
        <v>2500000</v>
      </c>
      <c r="K192" s="16">
        <f>Table1[[#This Row],[SỐ LƯỢNG ]]*Table1[[#This Row],[ĐƠN GIÁ /1 KG]]</f>
        <v>1500000</v>
      </c>
      <c r="L192" s="50"/>
      <c r="M192" s="50"/>
      <c r="N192" s="50"/>
      <c r="O192" s="50"/>
      <c r="P192" s="50"/>
      <c r="Q192" s="50"/>
      <c r="R192" s="50"/>
      <c r="S192" s="50"/>
      <c r="T192" s="50"/>
      <c r="U192" s="50"/>
      <c r="V192" s="50"/>
      <c r="W192" s="50"/>
      <c r="X192" s="50"/>
      <c r="Y192" s="50">
        <v>9</v>
      </c>
      <c r="Z192" s="50"/>
      <c r="AA192" s="50"/>
      <c r="AB192" s="50"/>
      <c r="AC192" s="50"/>
      <c r="AD192" s="50"/>
      <c r="AE192" s="50"/>
      <c r="AF192" s="50"/>
      <c r="AG192" s="50"/>
      <c r="AH192" s="50"/>
      <c r="AI192" s="50"/>
      <c r="AJ192" s="50"/>
      <c r="AK192" s="50"/>
      <c r="AL192" s="50"/>
      <c r="AM192" s="50"/>
      <c r="AN192" s="50"/>
      <c r="AO192" s="51">
        <f>Table1[[#This Row],[QUY ĐỔI GRAM]]-SUM(Table1[[#This Row],[XK ĐỒNG TÂM]:[XK LSX 8]])</f>
        <v>591</v>
      </c>
      <c r="AP192" s="51">
        <f>Table1[[#This Row],[CÒN LẠI (gram)]]*Table1[[#This Row],[ĐƠN GIÁ /1 KG]]/1000</f>
        <v>1477500</v>
      </c>
      <c r="AQ192" s="88" t="s">
        <v>22</v>
      </c>
      <c r="AR192" s="20"/>
      <c r="AS192" s="20"/>
      <c r="AT192" s="20"/>
      <c r="AU192" s="20"/>
    </row>
    <row r="193" spans="1:47" ht="27" customHeight="1" x14ac:dyDescent="0.35">
      <c r="A193" s="5">
        <v>190</v>
      </c>
      <c r="B193" s="66" t="s">
        <v>401</v>
      </c>
      <c r="C193" s="88"/>
      <c r="D193" s="89" t="s">
        <v>408</v>
      </c>
      <c r="E193" s="65" t="s">
        <v>17</v>
      </c>
      <c r="F193" s="49">
        <v>1</v>
      </c>
      <c r="G193" s="72">
        <v>46021</v>
      </c>
      <c r="H193" s="69">
        <v>1090</v>
      </c>
      <c r="I193" s="50">
        <f>Table1[[#This Row],[SỐ LƯỢNG ]]*1000</f>
        <v>1000</v>
      </c>
      <c r="J193" s="50">
        <v>1500000</v>
      </c>
      <c r="K193" s="16">
        <f>Table1[[#This Row],[SỐ LƯỢNG ]]*Table1[[#This Row],[ĐƠN GIÁ /1 KG]]</f>
        <v>1500000</v>
      </c>
      <c r="L193" s="50"/>
      <c r="M193" s="50"/>
      <c r="N193" s="50"/>
      <c r="O193" s="50"/>
      <c r="P193" s="50"/>
      <c r="Q193" s="50"/>
      <c r="R193" s="50"/>
      <c r="S193" s="50"/>
      <c r="T193" s="50"/>
      <c r="U193" s="50">
        <v>500</v>
      </c>
      <c r="V193" s="50"/>
      <c r="W193" s="50"/>
      <c r="X193" s="50"/>
      <c r="Y193" s="50">
        <v>401.8</v>
      </c>
      <c r="Z193" s="50"/>
      <c r="AA193" s="50"/>
      <c r="AB193" s="50"/>
      <c r="AC193" s="50"/>
      <c r="AD193" s="50"/>
      <c r="AE193" s="50"/>
      <c r="AF193" s="50"/>
      <c r="AG193" s="50"/>
      <c r="AH193" s="50"/>
      <c r="AI193" s="50"/>
      <c r="AJ193" s="50"/>
      <c r="AK193" s="50"/>
      <c r="AL193" s="50"/>
      <c r="AM193" s="50"/>
      <c r="AN193" s="50"/>
      <c r="AO193" s="51">
        <f>Table1[[#This Row],[QUY ĐỔI GRAM]]-SUM(Table1[[#This Row],[XK ĐỒNG TÂM]:[XK LSX 8]])</f>
        <v>98.200000000000045</v>
      </c>
      <c r="AP193" s="51">
        <f>Table1[[#This Row],[CÒN LẠI (gram)]]*Table1[[#This Row],[ĐƠN GIÁ /1 KG]]/1000</f>
        <v>147300.00000000006</v>
      </c>
      <c r="AQ193" s="88" t="s">
        <v>22</v>
      </c>
      <c r="AR193" s="20"/>
      <c r="AS193" s="20"/>
      <c r="AT193" s="20"/>
      <c r="AU193" s="20"/>
    </row>
    <row r="194" spans="1:47" ht="27" customHeight="1" x14ac:dyDescent="0.35">
      <c r="A194" s="5">
        <v>191</v>
      </c>
      <c r="B194" s="66" t="s">
        <v>433</v>
      </c>
      <c r="C194" s="102"/>
      <c r="D194" s="103" t="s">
        <v>452</v>
      </c>
      <c r="E194" s="65" t="s">
        <v>17</v>
      </c>
      <c r="F194" s="49">
        <v>1</v>
      </c>
      <c r="G194" s="72">
        <v>46021</v>
      </c>
      <c r="H194" s="69">
        <v>13816</v>
      </c>
      <c r="I194" s="50">
        <f>Table1[[#This Row],[SỐ LƯỢNG ]]*1000</f>
        <v>1000</v>
      </c>
      <c r="J194" s="50">
        <v>30000</v>
      </c>
      <c r="K194" s="16">
        <f>Table1[[#This Row],[SỐ LƯỢNG ]]*Table1[[#This Row],[ĐƠN GIÁ /1 KG]]</f>
        <v>30000</v>
      </c>
      <c r="L194" s="50"/>
      <c r="M194" s="50"/>
      <c r="N194" s="50"/>
      <c r="O194" s="50"/>
      <c r="P194" s="50"/>
      <c r="Q194" s="50"/>
      <c r="R194" s="50"/>
      <c r="S194" s="50"/>
      <c r="T194" s="50"/>
      <c r="U194" s="50"/>
      <c r="V194" s="50"/>
      <c r="W194" s="50"/>
      <c r="X194" s="50"/>
      <c r="Y194" s="50"/>
      <c r="Z194" s="50"/>
      <c r="AA194" s="50"/>
      <c r="AB194" s="50"/>
      <c r="AC194" s="50"/>
      <c r="AD194" s="44">
        <v>75</v>
      </c>
      <c r="AE194" s="44"/>
      <c r="AF194" s="44"/>
      <c r="AG194" s="44"/>
      <c r="AH194" s="44"/>
      <c r="AI194" s="44"/>
      <c r="AJ194" s="44"/>
      <c r="AK194" s="44"/>
      <c r="AL194" s="44"/>
      <c r="AM194" s="44"/>
      <c r="AN194" s="44"/>
      <c r="AO194" s="51">
        <f>Table1[[#This Row],[QUY ĐỔI GRAM]]-SUM(Table1[[#This Row],[XK ĐỒNG TÂM]:[XK LSX 8]])</f>
        <v>925</v>
      </c>
      <c r="AP194" s="51">
        <f>Table1[[#This Row],[CÒN LẠI (gram)]]*Table1[[#This Row],[ĐƠN GIÁ /1 KG]]/1000</f>
        <v>27750</v>
      </c>
      <c r="AQ194" s="88" t="s">
        <v>396</v>
      </c>
      <c r="AR194" s="20"/>
      <c r="AS194" s="20"/>
      <c r="AT194" s="20"/>
      <c r="AU194" s="20"/>
    </row>
    <row r="195" spans="1:47" ht="27" customHeight="1" x14ac:dyDescent="0.35">
      <c r="A195" s="5">
        <v>192</v>
      </c>
      <c r="B195" s="53" t="s">
        <v>517</v>
      </c>
      <c r="C195" s="3" t="s">
        <v>60</v>
      </c>
      <c r="D195" s="8" t="s">
        <v>59</v>
      </c>
      <c r="E195" s="15" t="s">
        <v>17</v>
      </c>
      <c r="F195" s="43">
        <v>19.399999999999999</v>
      </c>
      <c r="G195" s="72" t="s">
        <v>435</v>
      </c>
      <c r="H195" s="26">
        <v>35</v>
      </c>
      <c r="I195" s="44">
        <f>Table1[[#This Row],[SỐ LƯỢNG ]]*1000</f>
        <v>19400</v>
      </c>
      <c r="J195" s="44">
        <v>766500</v>
      </c>
      <c r="K195" s="16">
        <f>Table1[[#This Row],[SỐ LƯỢNG ]]*Table1[[#This Row],[ĐƠN GIÁ /1 KG]]</f>
        <v>14870099.999999998</v>
      </c>
      <c r="L195" s="44"/>
      <c r="M195" s="44"/>
      <c r="N195" s="44"/>
      <c r="O195" s="44"/>
      <c r="P195" s="44"/>
      <c r="Q195" s="44"/>
      <c r="R195" s="44"/>
      <c r="S195" s="44"/>
      <c r="T195" s="44"/>
      <c r="U195" s="44"/>
      <c r="V195" s="44"/>
      <c r="W195" s="44"/>
      <c r="X195" s="44"/>
      <c r="Y195" s="50"/>
      <c r="Z195" s="50"/>
      <c r="AA195" s="50"/>
      <c r="AB195" s="50"/>
      <c r="AC195" s="50"/>
      <c r="AD195" s="44"/>
      <c r="AE195" s="44"/>
      <c r="AF195" s="44"/>
      <c r="AG195" s="44"/>
      <c r="AH195" s="43">
        <v>6057.5</v>
      </c>
      <c r="AI195" s="44"/>
      <c r="AJ195" s="44"/>
      <c r="AK195" s="44"/>
      <c r="AL195" s="44"/>
      <c r="AM195" s="44"/>
      <c r="AN195" s="44"/>
      <c r="AO195" s="179">
        <f>Table1[[#This Row],[QUY ĐỔI GRAM]]-SUM(Table1[[#This Row],[XK ĐỒNG TÂM]:[XK LSX 8]])</f>
        <v>13342.5</v>
      </c>
      <c r="AP195" s="51">
        <f>Table1[[#This Row],[CÒN LẠI (gram)]]*Table1[[#This Row],[ĐƠN GIÁ /1 KG]]/1000</f>
        <v>10227026.25</v>
      </c>
      <c r="AQ195" s="3" t="s">
        <v>522</v>
      </c>
      <c r="AR195" s="20"/>
      <c r="AS195" s="20"/>
      <c r="AT195" s="20"/>
      <c r="AU195" s="20"/>
    </row>
    <row r="196" spans="1:47" ht="27" customHeight="1" x14ac:dyDescent="0.35">
      <c r="A196" s="5">
        <v>193</v>
      </c>
      <c r="B196" s="53" t="s">
        <v>515</v>
      </c>
      <c r="C196" s="86" t="s">
        <v>60</v>
      </c>
      <c r="D196" s="178" t="s">
        <v>539</v>
      </c>
      <c r="E196" s="15" t="s">
        <v>17</v>
      </c>
      <c r="F196" s="113">
        <v>0.28000000000000003</v>
      </c>
      <c r="G196" s="72" t="s">
        <v>435</v>
      </c>
      <c r="H196" s="26">
        <v>35</v>
      </c>
      <c r="I196" s="44">
        <f>Table1[[#This Row],[SỐ LƯỢNG ]]*1000</f>
        <v>280</v>
      </c>
      <c r="J196" s="44">
        <v>29900000</v>
      </c>
      <c r="K196" s="16">
        <f>Table1[[#This Row],[SỐ LƯỢNG ]]*Table1[[#This Row],[ĐƠN GIÁ /1 KG]]</f>
        <v>8372000.0000000009</v>
      </c>
      <c r="L196" s="44"/>
      <c r="M196" s="44"/>
      <c r="N196" s="44"/>
      <c r="O196" s="44"/>
      <c r="P196" s="44"/>
      <c r="Q196" s="44"/>
      <c r="R196" s="44"/>
      <c r="S196" s="44"/>
      <c r="T196" s="44"/>
      <c r="U196" s="44"/>
      <c r="V196" s="44"/>
      <c r="W196" s="44"/>
      <c r="X196" s="44"/>
      <c r="Y196" s="50"/>
      <c r="Z196" s="50"/>
      <c r="AA196" s="50"/>
      <c r="AB196" s="50"/>
      <c r="AC196" s="50"/>
      <c r="AD196" s="44"/>
      <c r="AE196" s="44"/>
      <c r="AF196" s="44"/>
      <c r="AG196" s="44"/>
      <c r="AH196" s="44"/>
      <c r="AI196" s="44"/>
      <c r="AJ196" s="44"/>
      <c r="AK196" s="44"/>
      <c r="AL196" s="44"/>
      <c r="AM196" s="44"/>
      <c r="AN196" s="44"/>
      <c r="AO196" s="45">
        <f>Table1[[#This Row],[QUY ĐỔI GRAM]]-SUM(Table1[[#This Row],[XK ĐỒNG TÂM]:[XK LSX 8]])</f>
        <v>280</v>
      </c>
      <c r="AP196" s="51">
        <f>Table1[[#This Row],[CÒN LẠI (gram)]]*Table1[[#This Row],[ĐƠN GIÁ /1 KG]]/1000</f>
        <v>8372000</v>
      </c>
      <c r="AQ196" s="3" t="s">
        <v>522</v>
      </c>
      <c r="AR196" s="20"/>
      <c r="AS196" s="20"/>
      <c r="AT196" s="20"/>
      <c r="AU196" s="20"/>
    </row>
    <row r="197" spans="1:47" ht="27" customHeight="1" x14ac:dyDescent="0.35">
      <c r="A197" s="5">
        <v>194</v>
      </c>
      <c r="B197" s="53" t="s">
        <v>516</v>
      </c>
      <c r="C197" s="3"/>
      <c r="D197" s="176" t="s">
        <v>394</v>
      </c>
      <c r="E197" s="15" t="s">
        <v>17</v>
      </c>
      <c r="F197" s="43">
        <v>19</v>
      </c>
      <c r="G197" s="72" t="s">
        <v>435</v>
      </c>
      <c r="H197" s="26">
        <v>35</v>
      </c>
      <c r="I197" s="44">
        <f>Table1[[#This Row],[SỐ LƯỢNG ]]*1000</f>
        <v>19000</v>
      </c>
      <c r="J197" s="44">
        <v>525000</v>
      </c>
      <c r="K197" s="16">
        <f>Table1[[#This Row],[SỐ LƯỢNG ]]*Table1[[#This Row],[ĐƠN GIÁ /1 KG]]</f>
        <v>9975000</v>
      </c>
      <c r="L197" s="44"/>
      <c r="M197" s="44"/>
      <c r="N197" s="44"/>
      <c r="O197" s="44"/>
      <c r="P197" s="44"/>
      <c r="Q197" s="44"/>
      <c r="R197" s="44"/>
      <c r="S197" s="44"/>
      <c r="T197" s="44"/>
      <c r="U197" s="44"/>
      <c r="V197" s="44"/>
      <c r="W197" s="44"/>
      <c r="X197" s="44"/>
      <c r="Y197" s="50"/>
      <c r="Z197" s="50"/>
      <c r="AA197" s="50"/>
      <c r="AB197" s="50"/>
      <c r="AC197" s="50"/>
      <c r="AD197" s="44"/>
      <c r="AE197" s="44"/>
      <c r="AF197" s="44"/>
      <c r="AG197" s="44"/>
      <c r="AH197" s="44"/>
      <c r="AI197" s="44"/>
      <c r="AJ197" s="44"/>
      <c r="AK197" s="44"/>
      <c r="AL197" s="44"/>
      <c r="AM197" s="44"/>
      <c r="AN197" s="44"/>
      <c r="AO197" s="45">
        <f>Table1[[#This Row],[QUY ĐỔI GRAM]]-SUM(Table1[[#This Row],[XK ĐỒNG TÂM]:[XK LSX 8]])</f>
        <v>19000</v>
      </c>
      <c r="AP197" s="51">
        <f>Table1[[#This Row],[CÒN LẠI (gram)]]*Table1[[#This Row],[ĐƠN GIÁ /1 KG]]/1000</f>
        <v>9975000</v>
      </c>
      <c r="AQ197" s="3" t="s">
        <v>522</v>
      </c>
      <c r="AR197" s="20"/>
      <c r="AS197" s="20"/>
      <c r="AT197" s="20"/>
      <c r="AU197" s="20"/>
    </row>
    <row r="198" spans="1:47" ht="27" customHeight="1" x14ac:dyDescent="0.35">
      <c r="A198" s="5">
        <v>195</v>
      </c>
      <c r="B198" s="53" t="s">
        <v>519</v>
      </c>
      <c r="C198" s="157"/>
      <c r="D198" s="178" t="s">
        <v>538</v>
      </c>
      <c r="E198" s="15" t="s">
        <v>17</v>
      </c>
      <c r="F198" s="43">
        <v>8.1999999999999993</v>
      </c>
      <c r="G198" s="72" t="s">
        <v>435</v>
      </c>
      <c r="H198" s="26">
        <v>35</v>
      </c>
      <c r="I198" s="44">
        <f>Table1[[#This Row],[SỐ LƯỢNG ]]*1000</f>
        <v>8200</v>
      </c>
      <c r="J198" s="44">
        <v>2600000</v>
      </c>
      <c r="K198" s="16">
        <f>Table1[[#This Row],[SỐ LƯỢNG ]]*Table1[[#This Row],[ĐƠN GIÁ /1 KG]]</f>
        <v>21320000</v>
      </c>
      <c r="L198" s="44"/>
      <c r="M198" s="44"/>
      <c r="N198" s="44"/>
      <c r="O198" s="44"/>
      <c r="P198" s="44"/>
      <c r="Q198" s="44"/>
      <c r="R198" s="44"/>
      <c r="S198" s="44"/>
      <c r="T198" s="44"/>
      <c r="U198" s="44"/>
      <c r="V198" s="44"/>
      <c r="W198" s="44"/>
      <c r="X198" s="44"/>
      <c r="Y198" s="50"/>
      <c r="Z198" s="50"/>
      <c r="AA198" s="50"/>
      <c r="AB198" s="50"/>
      <c r="AC198" s="50"/>
      <c r="AD198" s="44"/>
      <c r="AE198" s="44"/>
      <c r="AF198" s="44"/>
      <c r="AG198" s="44"/>
      <c r="AH198" s="44"/>
      <c r="AI198" s="44"/>
      <c r="AJ198" s="44"/>
      <c r="AK198" s="44"/>
      <c r="AL198" s="44"/>
      <c r="AM198" s="44"/>
      <c r="AN198" s="44"/>
      <c r="AO198" s="45">
        <f>Table1[[#This Row],[QUY ĐỔI GRAM]]-SUM(Table1[[#This Row],[XK ĐỒNG TÂM]:[XK LSX 8]])</f>
        <v>8200</v>
      </c>
      <c r="AP198" s="51">
        <f>Table1[[#This Row],[CÒN LẠI (gram)]]*Table1[[#This Row],[ĐƠN GIÁ /1 KG]]/1000</f>
        <v>21320000</v>
      </c>
      <c r="AQ198" s="3" t="s">
        <v>522</v>
      </c>
      <c r="AR198" s="20"/>
      <c r="AS198" s="20"/>
      <c r="AT198" s="20"/>
      <c r="AU198" s="20"/>
    </row>
    <row r="199" spans="1:47" ht="27" customHeight="1" x14ac:dyDescent="0.35">
      <c r="A199" s="5">
        <v>196</v>
      </c>
      <c r="B199" s="53" t="s">
        <v>518</v>
      </c>
      <c r="C199" s="3"/>
      <c r="D199" s="176" t="s">
        <v>411</v>
      </c>
      <c r="E199" s="15" t="s">
        <v>17</v>
      </c>
      <c r="F199" s="43">
        <v>1.7</v>
      </c>
      <c r="G199" s="72" t="s">
        <v>435</v>
      </c>
      <c r="H199" s="26">
        <v>35</v>
      </c>
      <c r="I199" s="44">
        <f>Table1[[#This Row],[SỐ LƯỢNG ]]*1000</f>
        <v>1700</v>
      </c>
      <c r="J199" s="44">
        <v>6204000</v>
      </c>
      <c r="K199" s="16">
        <f>Table1[[#This Row],[SỐ LƯỢNG ]]*Table1[[#This Row],[ĐƠN GIÁ /1 KG]]</f>
        <v>10546800</v>
      </c>
      <c r="L199" s="44"/>
      <c r="M199" s="44"/>
      <c r="N199" s="44"/>
      <c r="O199" s="44"/>
      <c r="P199" s="44"/>
      <c r="Q199" s="44"/>
      <c r="R199" s="44"/>
      <c r="S199" s="44"/>
      <c r="T199" s="44"/>
      <c r="U199" s="44"/>
      <c r="V199" s="44"/>
      <c r="W199" s="44"/>
      <c r="X199" s="44"/>
      <c r="Y199" s="50"/>
      <c r="Z199" s="50"/>
      <c r="AA199" s="50"/>
      <c r="AB199" s="50"/>
      <c r="AC199" s="50"/>
      <c r="AD199" s="44"/>
      <c r="AE199" s="44"/>
      <c r="AF199" s="44"/>
      <c r="AG199" s="44"/>
      <c r="AH199" s="44"/>
      <c r="AI199" s="44"/>
      <c r="AJ199" s="44"/>
      <c r="AK199" s="44"/>
      <c r="AL199" s="44"/>
      <c r="AM199" s="44"/>
      <c r="AN199" s="44"/>
      <c r="AO199" s="45">
        <f>Table1[[#This Row],[QUY ĐỔI GRAM]]-SUM(Table1[[#This Row],[XK ĐỒNG TÂM]:[XK LSX 8]])</f>
        <v>1700</v>
      </c>
      <c r="AP199" s="51">
        <f>Table1[[#This Row],[CÒN LẠI (gram)]]*Table1[[#This Row],[ĐƠN GIÁ /1 KG]]/1000</f>
        <v>10546800</v>
      </c>
      <c r="AQ199" s="3" t="s">
        <v>522</v>
      </c>
      <c r="AR199" s="20"/>
      <c r="AS199" s="20"/>
      <c r="AT199" s="20"/>
      <c r="AU199" s="20"/>
    </row>
    <row r="200" spans="1:47" ht="27" customHeight="1" x14ac:dyDescent="0.35">
      <c r="A200" s="5">
        <v>197</v>
      </c>
      <c r="B200" s="53" t="s">
        <v>520</v>
      </c>
      <c r="C200" s="157"/>
      <c r="D200" s="178" t="s">
        <v>70</v>
      </c>
      <c r="E200" s="15" t="s">
        <v>17</v>
      </c>
      <c r="F200" s="43">
        <v>8.3000000000000007</v>
      </c>
      <c r="G200" s="72" t="s">
        <v>435</v>
      </c>
      <c r="H200" s="26">
        <v>35</v>
      </c>
      <c r="I200" s="44">
        <f>Table1[[#This Row],[SỐ LƯỢNG ]]*1000</f>
        <v>8300</v>
      </c>
      <c r="J200" s="44">
        <v>302400</v>
      </c>
      <c r="K200" s="16">
        <f>Table1[[#This Row],[SỐ LƯỢNG ]]*Table1[[#This Row],[ĐƠN GIÁ /1 KG]]</f>
        <v>2509920</v>
      </c>
      <c r="L200" s="44"/>
      <c r="M200" s="44"/>
      <c r="N200" s="44"/>
      <c r="O200" s="44"/>
      <c r="P200" s="44"/>
      <c r="Q200" s="44"/>
      <c r="R200" s="44"/>
      <c r="S200" s="44"/>
      <c r="T200" s="44"/>
      <c r="U200" s="44"/>
      <c r="V200" s="44"/>
      <c r="W200" s="44"/>
      <c r="X200" s="44"/>
      <c r="Y200" s="50"/>
      <c r="Z200" s="50"/>
      <c r="AA200" s="50"/>
      <c r="AB200" s="50"/>
      <c r="AC200" s="50"/>
      <c r="AD200" s="44"/>
      <c r="AE200" s="44"/>
      <c r="AF200" s="44"/>
      <c r="AG200" s="44"/>
      <c r="AH200" s="44"/>
      <c r="AI200" s="44"/>
      <c r="AJ200" s="44"/>
      <c r="AK200" s="44"/>
      <c r="AL200" s="44"/>
      <c r="AM200" s="44"/>
      <c r="AN200" s="44"/>
      <c r="AO200" s="45">
        <f>Table1[[#This Row],[QUY ĐỔI GRAM]]-SUM(Table1[[#This Row],[XK ĐỒNG TÂM]:[XK LSX 8]])</f>
        <v>8300</v>
      </c>
      <c r="AP200" s="51">
        <f>Table1[[#This Row],[CÒN LẠI (gram)]]*Table1[[#This Row],[ĐƠN GIÁ /1 KG]]/1000</f>
        <v>2509920</v>
      </c>
      <c r="AQ200" s="3" t="s">
        <v>522</v>
      </c>
      <c r="AR200" s="20"/>
      <c r="AS200" s="20"/>
      <c r="AT200" s="20"/>
      <c r="AU200" s="20"/>
    </row>
    <row r="201" spans="1:47" ht="27" customHeight="1" x14ac:dyDescent="0.35">
      <c r="A201" s="5">
        <v>198</v>
      </c>
      <c r="B201" s="53" t="s">
        <v>521</v>
      </c>
      <c r="C201" s="3"/>
      <c r="D201" s="176" t="s">
        <v>540</v>
      </c>
      <c r="E201" s="15" t="s">
        <v>17</v>
      </c>
      <c r="F201" s="113">
        <v>2.75</v>
      </c>
      <c r="G201" s="72" t="s">
        <v>435</v>
      </c>
      <c r="H201" s="26">
        <v>35</v>
      </c>
      <c r="I201" s="44">
        <f>Table1[[#This Row],[SỐ LƯỢNG ]]*1000</f>
        <v>2750</v>
      </c>
      <c r="J201" s="44">
        <v>6830000</v>
      </c>
      <c r="K201" s="16">
        <f>Table1[[#This Row],[SỐ LƯỢNG ]]*Table1[[#This Row],[ĐƠN GIÁ /1 KG]]</f>
        <v>18782500</v>
      </c>
      <c r="L201" s="44"/>
      <c r="M201" s="44"/>
      <c r="N201" s="44"/>
      <c r="O201" s="44"/>
      <c r="P201" s="44"/>
      <c r="Q201" s="44"/>
      <c r="R201" s="44"/>
      <c r="S201" s="44"/>
      <c r="T201" s="44"/>
      <c r="U201" s="44"/>
      <c r="V201" s="44"/>
      <c r="W201" s="44"/>
      <c r="X201" s="44"/>
      <c r="Y201" s="50"/>
      <c r="Z201" s="50"/>
      <c r="AA201" s="50"/>
      <c r="AB201" s="50"/>
      <c r="AC201" s="50"/>
      <c r="AD201" s="73"/>
      <c r="AE201" s="73"/>
      <c r="AF201" s="73"/>
      <c r="AG201" s="73"/>
      <c r="AH201" s="73"/>
      <c r="AI201" s="73"/>
      <c r="AJ201" s="73"/>
      <c r="AK201" s="73"/>
      <c r="AL201" s="73"/>
      <c r="AM201" s="73"/>
      <c r="AN201" s="161"/>
      <c r="AO201" s="45">
        <f>Table1[[#This Row],[QUY ĐỔI GRAM]]-SUM(Table1[[#This Row],[XK ĐỒNG TÂM]:[XK LSX 8]])</f>
        <v>2750</v>
      </c>
      <c r="AP201" s="51">
        <f>Table1[[#This Row],[CÒN LẠI (gram)]]*Table1[[#This Row],[ĐƠN GIÁ /1 KG]]/1000</f>
        <v>18782500</v>
      </c>
      <c r="AQ201" s="3" t="s">
        <v>522</v>
      </c>
      <c r="AR201" s="20"/>
      <c r="AS201" s="20"/>
      <c r="AT201" s="20"/>
      <c r="AU201" s="20"/>
    </row>
    <row r="202" spans="1:47" ht="27" customHeight="1" x14ac:dyDescent="0.35">
      <c r="A202" s="5">
        <v>199</v>
      </c>
      <c r="B202" s="66" t="s">
        <v>434</v>
      </c>
      <c r="C202" s="102"/>
      <c r="D202" s="103" t="s">
        <v>454</v>
      </c>
      <c r="E202" s="65" t="s">
        <v>17</v>
      </c>
      <c r="F202" s="97">
        <v>2.2999999999999998</v>
      </c>
      <c r="G202" s="72" t="s">
        <v>435</v>
      </c>
      <c r="H202" s="69">
        <v>43</v>
      </c>
      <c r="I202" s="50">
        <f>Table1[[#This Row],[SỐ LƯỢNG ]]*1000</f>
        <v>2300</v>
      </c>
      <c r="J202" s="50">
        <v>340000</v>
      </c>
      <c r="K202" s="16">
        <f>Table1[[#This Row],[SỐ LƯỢNG ]]*Table1[[#This Row],[ĐƠN GIÁ /1 KG]]</f>
        <v>781999.99999999988</v>
      </c>
      <c r="L202" s="50"/>
      <c r="M202" s="50"/>
      <c r="N202" s="50"/>
      <c r="O202" s="50"/>
      <c r="P202" s="50"/>
      <c r="Q202" s="50"/>
      <c r="R202" s="50"/>
      <c r="S202" s="50"/>
      <c r="T202" s="50">
        <v>1200</v>
      </c>
      <c r="U202" s="50"/>
      <c r="V202" s="50"/>
      <c r="W202" s="50"/>
      <c r="X202" s="50"/>
      <c r="Y202" s="50">
        <v>1005</v>
      </c>
      <c r="Z202" s="50"/>
      <c r="AA202" s="50"/>
      <c r="AB202" s="50"/>
      <c r="AC202" s="50"/>
      <c r="AD202" s="50"/>
      <c r="AE202" s="50"/>
      <c r="AF202" s="50"/>
      <c r="AG202" s="50"/>
      <c r="AH202" s="50"/>
      <c r="AI202" s="50"/>
      <c r="AJ202" s="50"/>
      <c r="AK202" s="50"/>
      <c r="AL202" s="50"/>
      <c r="AM202" s="50"/>
      <c r="AN202" s="50"/>
      <c r="AO202" s="51">
        <f>Table1[[#This Row],[QUY ĐỔI GRAM]]-SUM(Table1[[#This Row],[XK ĐỒNG TÂM]:[XK LSX 8]])</f>
        <v>95</v>
      </c>
      <c r="AP202" s="51">
        <f>Table1[[#This Row],[CÒN LẠI (gram)]]*Table1[[#This Row],[ĐƠN GIÁ /1 KG]]/1000</f>
        <v>32300</v>
      </c>
      <c r="AQ202" s="88" t="s">
        <v>255</v>
      </c>
      <c r="AR202" s="20"/>
      <c r="AS202" s="20"/>
      <c r="AT202" s="20"/>
      <c r="AU202" s="20"/>
    </row>
    <row r="203" spans="1:47" ht="27" customHeight="1" x14ac:dyDescent="0.35">
      <c r="A203" s="5">
        <v>200</v>
      </c>
      <c r="B203" s="94" t="s">
        <v>438</v>
      </c>
      <c r="C203" s="88"/>
      <c r="D203" s="89"/>
      <c r="E203" s="65" t="s">
        <v>24</v>
      </c>
      <c r="F203" s="49">
        <v>2000</v>
      </c>
      <c r="G203" s="72">
        <v>45915</v>
      </c>
      <c r="H203" s="69">
        <v>10996</v>
      </c>
      <c r="I203" s="50"/>
      <c r="J203" s="50">
        <v>165</v>
      </c>
      <c r="K203" s="16">
        <f>Table1[[#This Row],[SỐ LƯỢNG ]]*Table1[[#This Row],[ĐƠN GIÁ /1 KG]]</f>
        <v>330000</v>
      </c>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1">
        <f>Table1[[#This Row],[SỐ LƯỢNG ]]-SUM(Table1[[#This Row],[XK ĐỒNG TÂM]:[XK LSX 8]])</f>
        <v>2000</v>
      </c>
      <c r="AP203" s="51">
        <f>Table1[[#This Row],[CÒN LẠI (gram)]]*Table1[[#This Row],[ĐƠN GIÁ /1 KG]]</f>
        <v>330000</v>
      </c>
      <c r="AQ203" s="3" t="s">
        <v>33</v>
      </c>
      <c r="AR203" s="20"/>
      <c r="AS203" s="20"/>
      <c r="AT203" s="20"/>
      <c r="AU203" s="20"/>
    </row>
    <row r="204" spans="1:47" ht="27" customHeight="1" x14ac:dyDescent="0.35">
      <c r="A204" s="5">
        <v>201</v>
      </c>
      <c r="B204" s="94" t="s">
        <v>446</v>
      </c>
      <c r="C204" s="88"/>
      <c r="D204" s="89"/>
      <c r="E204" s="65" t="s">
        <v>24</v>
      </c>
      <c r="F204" s="49">
        <v>5000</v>
      </c>
      <c r="G204" s="72">
        <v>45908</v>
      </c>
      <c r="H204" s="69">
        <v>29</v>
      </c>
      <c r="I204" s="50"/>
      <c r="J204" s="50">
        <v>19500</v>
      </c>
      <c r="K204" s="16">
        <f>Table1[[#This Row],[SỐ LƯỢNG ]]*Table1[[#This Row],[ĐƠN GIÁ /1 KG]]</f>
        <v>97500000</v>
      </c>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1">
        <f>Table1[[#This Row],[SỐ LƯỢNG ]]-SUM(Table1[[#This Row],[XK ĐỒNG TÂM]:[XK LSX 8]])</f>
        <v>5000</v>
      </c>
      <c r="AP204" s="51">
        <f>Table1[[#This Row],[CÒN LẠI (gram)]]*Table1[[#This Row],[ĐƠN GIÁ /1 KG]]</f>
        <v>97500000</v>
      </c>
      <c r="AQ204" s="3" t="s">
        <v>81</v>
      </c>
      <c r="AR204" s="20"/>
      <c r="AS204" s="20"/>
      <c r="AT204" s="20"/>
      <c r="AU204" s="20"/>
    </row>
    <row r="205" spans="1:47" ht="27" customHeight="1" x14ac:dyDescent="0.35">
      <c r="A205" s="5">
        <v>202</v>
      </c>
      <c r="B205" s="114" t="s">
        <v>456</v>
      </c>
      <c r="C205" s="3"/>
      <c r="D205" s="8"/>
      <c r="E205" s="65" t="s">
        <v>24</v>
      </c>
      <c r="F205" s="43">
        <v>1800</v>
      </c>
      <c r="G205" s="52">
        <v>45962</v>
      </c>
      <c r="H205" s="26">
        <v>297</v>
      </c>
      <c r="I205" s="44"/>
      <c r="J205" s="44">
        <v>6300</v>
      </c>
      <c r="K205" s="16">
        <f>Table1[[#This Row],[SỐ LƯỢNG ]]*Table1[[#This Row],[ĐƠN GIÁ /1 KG]]</f>
        <v>11340000</v>
      </c>
      <c r="L205" s="44"/>
      <c r="M205" s="44"/>
      <c r="N205" s="44"/>
      <c r="O205" s="44"/>
      <c r="P205" s="44"/>
      <c r="Q205" s="44"/>
      <c r="R205" s="44"/>
      <c r="S205" s="44"/>
      <c r="T205" s="44"/>
      <c r="U205" s="44">
        <v>1800</v>
      </c>
      <c r="V205" s="44"/>
      <c r="W205" s="44"/>
      <c r="X205" s="44"/>
      <c r="Y205" s="50"/>
      <c r="Z205" s="50"/>
      <c r="AA205" s="50"/>
      <c r="AB205" s="50"/>
      <c r="AC205" s="50"/>
      <c r="AD205" s="50"/>
      <c r="AE205" s="50"/>
      <c r="AF205" s="50"/>
      <c r="AG205" s="50"/>
      <c r="AH205" s="50"/>
      <c r="AI205" s="50"/>
      <c r="AJ205" s="50"/>
      <c r="AK205" s="50"/>
      <c r="AL205" s="50"/>
      <c r="AM205" s="50"/>
      <c r="AN205" s="44"/>
      <c r="AO205" s="51">
        <f>Table1[[#This Row],[SỐ LƯỢNG ]]-SUM(Table1[[#This Row],[XK ĐỒNG TÂM]:[XK LSX 8]])</f>
        <v>0</v>
      </c>
      <c r="AP205" s="51">
        <f>Table1[[#This Row],[CÒN LẠI (gram)]]*Table1[[#This Row],[ĐƠN GIÁ /1 KG]]</f>
        <v>0</v>
      </c>
      <c r="AQ205" s="88" t="s">
        <v>455</v>
      </c>
      <c r="AR205" s="20"/>
      <c r="AS205" s="20"/>
      <c r="AT205" s="20"/>
      <c r="AU205" s="20"/>
    </row>
    <row r="206" spans="1:47" ht="27" customHeight="1" x14ac:dyDescent="0.35">
      <c r="A206" s="5">
        <v>203</v>
      </c>
      <c r="B206" s="66" t="s">
        <v>448</v>
      </c>
      <c r="C206" s="100"/>
      <c r="D206" s="101" t="s">
        <v>451</v>
      </c>
      <c r="E206" s="65" t="s">
        <v>17</v>
      </c>
      <c r="F206" s="49">
        <v>0.1</v>
      </c>
      <c r="G206" s="72">
        <v>46027</v>
      </c>
      <c r="H206" s="69">
        <v>33</v>
      </c>
      <c r="I206" s="50">
        <f>Table1[[#This Row],[SỐ LƯỢNG ]]*1000</f>
        <v>100</v>
      </c>
      <c r="J206" s="50">
        <v>3000000</v>
      </c>
      <c r="K206" s="16">
        <f>Table1[[#This Row],[SỐ LƯỢNG ]]*Table1[[#This Row],[ĐƠN GIÁ /1 KG]]</f>
        <v>300000</v>
      </c>
      <c r="L206" s="50"/>
      <c r="M206" s="50"/>
      <c r="N206" s="50"/>
      <c r="O206" s="50"/>
      <c r="P206" s="50"/>
      <c r="Q206" s="50"/>
      <c r="R206" s="50"/>
      <c r="S206" s="50"/>
      <c r="T206" s="50"/>
      <c r="U206" s="50"/>
      <c r="V206" s="50"/>
      <c r="W206" s="50"/>
      <c r="X206" s="50"/>
      <c r="Y206" s="50"/>
      <c r="Z206" s="50"/>
      <c r="AA206" s="50"/>
      <c r="AB206" s="50"/>
      <c r="AC206" s="50"/>
      <c r="AD206" s="50">
        <v>15</v>
      </c>
      <c r="AE206" s="50"/>
      <c r="AF206" s="50"/>
      <c r="AG206" s="50"/>
      <c r="AH206" s="50"/>
      <c r="AI206" s="50"/>
      <c r="AJ206" s="50"/>
      <c r="AK206" s="50"/>
      <c r="AL206" s="50"/>
      <c r="AM206" s="50"/>
      <c r="AN206" s="50"/>
      <c r="AO206" s="51">
        <f>Table1[[#This Row],[QUY ĐỔI GRAM]]-SUM(Table1[[#This Row],[XK ĐỒNG TÂM]:[XK LSX 8]])</f>
        <v>85</v>
      </c>
      <c r="AP206" s="51">
        <f>Table1[[#This Row],[CÒN LẠI (gram)]]*Table1[[#This Row],[ĐƠN GIÁ /1 KG]]/1000</f>
        <v>255000</v>
      </c>
      <c r="AQ206" s="47" t="s">
        <v>269</v>
      </c>
      <c r="AR206" s="20"/>
      <c r="AS206" s="20"/>
      <c r="AT206" s="20"/>
      <c r="AU206" s="20"/>
    </row>
    <row r="207" spans="1:47" ht="27" customHeight="1" x14ac:dyDescent="0.35">
      <c r="A207" s="5">
        <v>204</v>
      </c>
      <c r="B207" s="66" t="s">
        <v>449</v>
      </c>
      <c r="C207" s="100"/>
      <c r="D207" s="101" t="s">
        <v>450</v>
      </c>
      <c r="E207" s="65" t="s">
        <v>17</v>
      </c>
      <c r="F207" s="49">
        <v>1</v>
      </c>
      <c r="G207" s="72">
        <v>46027</v>
      </c>
      <c r="H207" s="69">
        <v>35</v>
      </c>
      <c r="I207" s="50">
        <f>Table1[[#This Row],[SỐ LƯỢNG ]]*1000</f>
        <v>1000</v>
      </c>
      <c r="J207" s="50">
        <v>595000</v>
      </c>
      <c r="K207" s="16">
        <f>Table1[[#This Row],[SỐ LƯỢNG ]]*Table1[[#This Row],[ĐƠN GIÁ /1 KG]]</f>
        <v>595000</v>
      </c>
      <c r="L207" s="50"/>
      <c r="M207" s="50"/>
      <c r="N207" s="50"/>
      <c r="O207" s="50"/>
      <c r="P207" s="50"/>
      <c r="Q207" s="50"/>
      <c r="R207" s="50"/>
      <c r="S207" s="50"/>
      <c r="T207" s="50"/>
      <c r="U207" s="50"/>
      <c r="V207" s="50"/>
      <c r="W207" s="50"/>
      <c r="X207" s="50"/>
      <c r="Y207" s="50"/>
      <c r="Z207" s="50"/>
      <c r="AA207" s="50"/>
      <c r="AB207" s="50"/>
      <c r="AC207" s="50"/>
      <c r="AD207" s="50">
        <v>300</v>
      </c>
      <c r="AE207" s="50"/>
      <c r="AF207" s="50"/>
      <c r="AG207" s="50"/>
      <c r="AH207" s="50"/>
      <c r="AI207" s="50"/>
      <c r="AJ207" s="50"/>
      <c r="AK207" s="50"/>
      <c r="AL207" s="50"/>
      <c r="AM207" s="50"/>
      <c r="AN207" s="50"/>
      <c r="AO207" s="51">
        <f>Table1[[#This Row],[QUY ĐỔI GRAM]]-SUM(Table1[[#This Row],[XK ĐỒNG TÂM]:[XK LSX 8]])</f>
        <v>700</v>
      </c>
      <c r="AP207" s="51">
        <f>Table1[[#This Row],[CÒN LẠI (gram)]]*Table1[[#This Row],[ĐƠN GIÁ /1 KG]]/1000</f>
        <v>416500</v>
      </c>
      <c r="AQ207" s="47" t="s">
        <v>269</v>
      </c>
      <c r="AR207" s="20"/>
      <c r="AS207" s="20"/>
      <c r="AT207" s="20"/>
      <c r="AU207" s="20"/>
    </row>
    <row r="208" spans="1:47" ht="27" customHeight="1" x14ac:dyDescent="0.35">
      <c r="A208" s="5">
        <v>205</v>
      </c>
      <c r="B208" s="66" t="s">
        <v>373</v>
      </c>
      <c r="C208" s="92" t="s">
        <v>375</v>
      </c>
      <c r="D208" s="85" t="s">
        <v>374</v>
      </c>
      <c r="E208" s="65" t="s">
        <v>17</v>
      </c>
      <c r="F208" s="49">
        <v>0.1</v>
      </c>
      <c r="G208" s="72">
        <v>46027</v>
      </c>
      <c r="H208" s="69">
        <v>48</v>
      </c>
      <c r="I208" s="50">
        <f>Table1[[#This Row],[SỐ LƯỢNG ]]*1000</f>
        <v>100</v>
      </c>
      <c r="J208" s="50">
        <v>2000000</v>
      </c>
      <c r="K208" s="16">
        <f>Table1[[#This Row],[SỐ LƯỢNG ]]*Table1[[#This Row],[ĐƠN GIÁ /1 KG]]</f>
        <v>200000</v>
      </c>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1">
        <f>Table1[[#This Row],[QUY ĐỔI GRAM]]-SUM(Table1[[#This Row],[XK ĐỒNG TÂM]:[XK LSX 8]])</f>
        <v>100</v>
      </c>
      <c r="AP208" s="51">
        <f>Table1[[#This Row],[CÒN LẠI (gram)]]*Table1[[#This Row],[ĐƠN GIÁ /1 KG]]/1000</f>
        <v>200000</v>
      </c>
      <c r="AQ208" s="88" t="s">
        <v>20</v>
      </c>
      <c r="AR208" s="20"/>
      <c r="AS208" s="20"/>
      <c r="AT208" s="20"/>
      <c r="AU208" s="20"/>
    </row>
    <row r="209" spans="1:47" ht="27" customHeight="1" x14ac:dyDescent="0.35">
      <c r="A209" s="5">
        <v>206</v>
      </c>
      <c r="B209" s="94" t="s">
        <v>458</v>
      </c>
      <c r="C209" s="88"/>
      <c r="D209" s="89"/>
      <c r="E209" s="65" t="s">
        <v>131</v>
      </c>
      <c r="F209" s="49">
        <v>5000</v>
      </c>
      <c r="G209" s="72">
        <v>46027</v>
      </c>
      <c r="H209" s="69">
        <v>2</v>
      </c>
      <c r="I209" s="50"/>
      <c r="J209" s="50">
        <v>6700</v>
      </c>
      <c r="K209" s="16">
        <f>Table1[[#This Row],[SỐ LƯỢNG ]]*Table1[[#This Row],[ĐƠN GIÁ /1 KG]]</f>
        <v>33500000</v>
      </c>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1">
        <f>Table1[[#This Row],[SỐ LƯỢNG ]]-SUM(Table1[[#This Row],[XK ĐỒNG TÂM]:[XK LSX 8]])</f>
        <v>5000</v>
      </c>
      <c r="AP209" s="51">
        <f>Table1[[#This Row],[CÒN LẠI (gram)]]*Table1[[#This Row],[ĐƠN GIÁ /1 KG]]</f>
        <v>33500000</v>
      </c>
      <c r="AQ209" s="88" t="s">
        <v>88</v>
      </c>
      <c r="AR209" s="20"/>
      <c r="AS209" s="20"/>
      <c r="AT209" s="20"/>
      <c r="AU209" s="20"/>
    </row>
    <row r="210" spans="1:47" ht="33.75" customHeight="1" x14ac:dyDescent="0.35">
      <c r="A210" s="5">
        <v>207</v>
      </c>
      <c r="B210" s="94" t="s">
        <v>459</v>
      </c>
      <c r="C210" s="88"/>
      <c r="D210" s="89"/>
      <c r="E210" s="65" t="s">
        <v>131</v>
      </c>
      <c r="F210" s="49">
        <v>5000</v>
      </c>
      <c r="G210" s="72">
        <v>46027</v>
      </c>
      <c r="H210" s="69">
        <v>2</v>
      </c>
      <c r="I210" s="50"/>
      <c r="J210" s="50">
        <v>6500</v>
      </c>
      <c r="K210" s="16">
        <f>Table1[[#This Row],[SỐ LƯỢNG ]]*Table1[[#This Row],[ĐƠN GIÁ /1 KG]]</f>
        <v>32500000</v>
      </c>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1">
        <f>Table1[[#This Row],[SỐ LƯỢNG ]]-SUM(Table1[[#This Row],[XK ĐỒNG TÂM]:[XK LSX 8]])</f>
        <v>5000</v>
      </c>
      <c r="AP210" s="51">
        <f>Table1[[#This Row],[CÒN LẠI (gram)]]*Table1[[#This Row],[ĐƠN GIÁ /1 KG]]</f>
        <v>32500000</v>
      </c>
      <c r="AQ210" s="88" t="s">
        <v>88</v>
      </c>
      <c r="AR210" s="20"/>
      <c r="AS210" s="20"/>
      <c r="AT210" s="20"/>
      <c r="AU210" s="20"/>
    </row>
    <row r="211" spans="1:47" ht="30" customHeight="1" x14ac:dyDescent="0.35">
      <c r="A211" s="5">
        <v>208</v>
      </c>
      <c r="B211" s="13" t="s">
        <v>139</v>
      </c>
      <c r="C211" s="89"/>
      <c r="D211" s="8" t="s">
        <v>194</v>
      </c>
      <c r="E211" s="15" t="s">
        <v>140</v>
      </c>
      <c r="F211" s="49">
        <v>5</v>
      </c>
      <c r="G211" s="72">
        <v>46039</v>
      </c>
      <c r="H211" s="69">
        <v>84</v>
      </c>
      <c r="I211" s="50">
        <f>Table1[[#This Row],[SỐ LƯỢNG ]]*1000</f>
        <v>5000</v>
      </c>
      <c r="J211" s="50">
        <v>36000</v>
      </c>
      <c r="K211" s="16">
        <f>Table1[[#This Row],[SỐ LƯỢNG ]]*Table1[[#This Row],[ĐƠN GIÁ /1 KG]]</f>
        <v>180000</v>
      </c>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1">
        <f>Table1[[#This Row],[QUY ĐỔI GRAM]]-SUM(Table1[[#This Row],[XK ĐỒNG TÂM]:[XK LSX 8]])</f>
        <v>5000</v>
      </c>
      <c r="AP211" s="51">
        <f>Table1[[#This Row],[CÒN LẠI (gram)]]*Table1[[#This Row],[ĐƠN GIÁ /1 KG]]/1000</f>
        <v>180000</v>
      </c>
      <c r="AQ211" s="3" t="s">
        <v>141</v>
      </c>
      <c r="AR211" s="20"/>
      <c r="AS211" s="20"/>
      <c r="AT211" s="20"/>
      <c r="AU211" s="20"/>
    </row>
    <row r="212" spans="1:47" ht="30" customHeight="1" x14ac:dyDescent="0.35">
      <c r="A212" s="5">
        <v>209</v>
      </c>
      <c r="B212" s="66" t="s">
        <v>460</v>
      </c>
      <c r="C212" s="88"/>
      <c r="D212" s="103" t="s">
        <v>479</v>
      </c>
      <c r="E212" s="65" t="s">
        <v>17</v>
      </c>
      <c r="F212" s="49">
        <v>3</v>
      </c>
      <c r="G212" s="72">
        <v>46039</v>
      </c>
      <c r="H212" s="69">
        <v>333</v>
      </c>
      <c r="I212" s="50">
        <f>Table1[[#This Row],[SỐ LƯỢNG ]]*1000</f>
        <v>3000</v>
      </c>
      <c r="J212" s="50">
        <v>1250000</v>
      </c>
      <c r="K212" s="16">
        <f>Table1[[#This Row],[SỐ LƯỢNG ]]*Table1[[#This Row],[ĐƠN GIÁ /1 KG]]</f>
        <v>3750000</v>
      </c>
      <c r="L212" s="50"/>
      <c r="M212" s="50"/>
      <c r="N212" s="50"/>
      <c r="O212" s="50"/>
      <c r="P212" s="50"/>
      <c r="Q212" s="50"/>
      <c r="R212" s="50"/>
      <c r="S212" s="50"/>
      <c r="T212" s="50"/>
      <c r="U212" s="50"/>
      <c r="V212" s="50"/>
      <c r="W212" s="50"/>
      <c r="X212" s="50"/>
      <c r="Y212" s="50"/>
      <c r="Z212" s="50"/>
      <c r="AA212" s="50"/>
      <c r="AB212" s="50"/>
      <c r="AC212" s="50"/>
      <c r="AD212" s="50"/>
      <c r="AE212" s="112">
        <v>60.78</v>
      </c>
      <c r="AF212" s="50"/>
      <c r="AG212" s="50"/>
      <c r="AH212" s="50"/>
      <c r="AI212" s="50"/>
      <c r="AJ212" s="50"/>
      <c r="AK212" s="50"/>
      <c r="AL212" s="50"/>
      <c r="AM212" s="50"/>
      <c r="AN212" s="50"/>
      <c r="AO212" s="121">
        <f>Table1[[#This Row],[QUY ĐỔI GRAM]]-SUM(Table1[[#This Row],[XK ĐỒNG TÂM]:[XK LSX 8]])</f>
        <v>2939.22</v>
      </c>
      <c r="AP212" s="51">
        <f>Table1[[#This Row],[CÒN LẠI (gram)]]*Table1[[#This Row],[ĐƠN GIÁ /1 KG]]/1000</f>
        <v>3674024.9999999995</v>
      </c>
      <c r="AQ212" s="88" t="s">
        <v>20</v>
      </c>
      <c r="AR212" s="20"/>
      <c r="AS212" s="20"/>
      <c r="AT212" s="20"/>
      <c r="AU212" s="20"/>
    </row>
    <row r="213" spans="1:47" ht="30" customHeight="1" x14ac:dyDescent="0.35">
      <c r="A213" s="5">
        <v>210</v>
      </c>
      <c r="B213" s="66" t="s">
        <v>461</v>
      </c>
      <c r="C213" s="88"/>
      <c r="D213" s="101" t="s">
        <v>477</v>
      </c>
      <c r="E213" s="65" t="s">
        <v>17</v>
      </c>
      <c r="F213" s="49">
        <v>1</v>
      </c>
      <c r="G213" s="72">
        <v>46039</v>
      </c>
      <c r="H213" s="69">
        <v>333</v>
      </c>
      <c r="I213" s="50">
        <f>Table1[[#This Row],[SỐ LƯỢNG ]]*1000</f>
        <v>1000</v>
      </c>
      <c r="J213" s="50">
        <v>1730000</v>
      </c>
      <c r="K213" s="16">
        <f>Table1[[#This Row],[SỐ LƯỢNG ]]*Table1[[#This Row],[ĐƠN GIÁ /1 KG]]</f>
        <v>1730000</v>
      </c>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1">
        <f>Table1[[#This Row],[QUY ĐỔI GRAM]]-SUM(Table1[[#This Row],[XK ĐỒNG TÂM]:[XK LSX 8]])</f>
        <v>1000</v>
      </c>
      <c r="AP213" s="51">
        <f>Table1[[#This Row],[CÒN LẠI (gram)]]*Table1[[#This Row],[ĐƠN GIÁ /1 KG]]/1000</f>
        <v>1730000</v>
      </c>
      <c r="AQ213" s="88" t="s">
        <v>20</v>
      </c>
      <c r="AR213" s="20"/>
      <c r="AS213" s="20"/>
      <c r="AT213" s="20"/>
      <c r="AU213" s="20"/>
    </row>
    <row r="214" spans="1:47" ht="30" customHeight="1" x14ac:dyDescent="0.35">
      <c r="A214" s="5">
        <v>211</v>
      </c>
      <c r="B214" s="94" t="s">
        <v>462</v>
      </c>
      <c r="C214" s="88"/>
      <c r="D214" s="103"/>
      <c r="E214" s="65" t="s">
        <v>207</v>
      </c>
      <c r="F214" s="49">
        <v>4</v>
      </c>
      <c r="G214" s="72">
        <v>46041</v>
      </c>
      <c r="H214" s="69">
        <v>42</v>
      </c>
      <c r="I214" s="50"/>
      <c r="J214" s="50">
        <v>320000</v>
      </c>
      <c r="K214" s="16">
        <f>Table1[[#This Row],[SỐ LƯỢNG ]]*Table1[[#This Row],[ĐƠN GIÁ /1 KG]]</f>
        <v>1280000</v>
      </c>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1">
        <f>Table1[[#This Row],[SỐ LƯỢNG ]]-SUM(Table1[[#This Row],[XK ĐỒNG TÂM]:[XK LSX 8]])</f>
        <v>4</v>
      </c>
      <c r="AP214" s="51">
        <f>Table1[[#This Row],[CÒN LẠI (gram)]]*Table1[[#This Row],[ĐƠN GIÁ /1 KG]]</f>
        <v>1280000</v>
      </c>
      <c r="AQ214" s="88" t="s">
        <v>463</v>
      </c>
      <c r="AR214" s="20"/>
      <c r="AS214" s="20"/>
      <c r="AT214" s="20"/>
      <c r="AU214" s="20"/>
    </row>
    <row r="215" spans="1:47" ht="30" customHeight="1" x14ac:dyDescent="0.35">
      <c r="A215" s="5">
        <v>212</v>
      </c>
      <c r="B215" s="66" t="s">
        <v>464</v>
      </c>
      <c r="C215" s="47"/>
      <c r="D215" s="101" t="s">
        <v>362</v>
      </c>
      <c r="E215" s="65" t="s">
        <v>17</v>
      </c>
      <c r="F215" s="49">
        <v>0.1</v>
      </c>
      <c r="G215" s="72">
        <v>46041</v>
      </c>
      <c r="H215" s="69">
        <v>104</v>
      </c>
      <c r="I215" s="50">
        <f>Table1[[#This Row],[SỐ LƯỢNG ]]*1000</f>
        <v>100</v>
      </c>
      <c r="J215" s="50">
        <v>2700000</v>
      </c>
      <c r="K215" s="16">
        <f>Table1[[#This Row],[SỐ LƯỢNG ]]*Table1[[#This Row],[ĐƠN GIÁ /1 KG]]</f>
        <v>270000</v>
      </c>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121">
        <f>Table1[[#This Row],[QUY ĐỔI GRAM]]-SUM(Table1[[#This Row],[XK ĐỒNG TÂM]:[XK LSX 8]])</f>
        <v>100</v>
      </c>
      <c r="AP215" s="51">
        <f>Table1[[#This Row],[CÒN LẠI (gram)]]*Table1[[#This Row],[ĐƠN GIÁ /1 KG]]/1000</f>
        <v>270000</v>
      </c>
      <c r="AQ215" s="88" t="s">
        <v>364</v>
      </c>
      <c r="AR215" s="20"/>
      <c r="AS215" s="20"/>
      <c r="AT215" s="20"/>
      <c r="AU215" s="20"/>
    </row>
    <row r="216" spans="1:47" ht="30" customHeight="1" x14ac:dyDescent="0.35">
      <c r="A216" s="5">
        <v>213</v>
      </c>
      <c r="B216" s="66" t="s">
        <v>465</v>
      </c>
      <c r="C216" s="47"/>
      <c r="D216" s="103" t="s">
        <v>478</v>
      </c>
      <c r="E216" s="65" t="s">
        <v>17</v>
      </c>
      <c r="F216" s="49">
        <v>0.05</v>
      </c>
      <c r="G216" s="72">
        <v>46044</v>
      </c>
      <c r="H216" s="69">
        <v>285</v>
      </c>
      <c r="I216" s="50">
        <f>Table1[[#This Row],[SỐ LƯỢNG ]]*1000</f>
        <v>50</v>
      </c>
      <c r="J216" s="50">
        <v>11600000</v>
      </c>
      <c r="K216" s="16">
        <f>Table1[[#This Row],[SỐ LƯỢNG ]]*Table1[[#This Row],[ĐƠN GIÁ /1 KG]]</f>
        <v>580000</v>
      </c>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1">
        <f>Table1[[#This Row],[QUY ĐỔI GRAM]]-SUM(Table1[[#This Row],[XK ĐỒNG TÂM]:[XK LSX 8]])</f>
        <v>50</v>
      </c>
      <c r="AP216" s="51">
        <f>Table1[[#This Row],[CÒN LẠI (gram)]]*Table1[[#This Row],[ĐƠN GIÁ /1 KG]]/1000</f>
        <v>580000</v>
      </c>
      <c r="AQ216" s="88" t="s">
        <v>349</v>
      </c>
      <c r="AR216" s="20"/>
      <c r="AS216" s="20"/>
      <c r="AT216" s="20"/>
      <c r="AU216" s="20"/>
    </row>
    <row r="217" spans="1:47" ht="30" customHeight="1" x14ac:dyDescent="0.35">
      <c r="A217" s="5">
        <v>214</v>
      </c>
      <c r="B217" s="47" t="s">
        <v>466</v>
      </c>
      <c r="C217" s="20"/>
      <c r="D217" s="116"/>
      <c r="E217" s="15" t="s">
        <v>24</v>
      </c>
      <c r="F217" s="43">
        <v>2026</v>
      </c>
      <c r="G217" s="52">
        <v>46042</v>
      </c>
      <c r="H217" s="26">
        <v>76</v>
      </c>
      <c r="I217" s="44"/>
      <c r="J217" s="44">
        <v>2590</v>
      </c>
      <c r="K217" s="16">
        <f>Table1[[#This Row],[SỐ LƯỢNG ]]*Table1[[#This Row],[ĐƠN GIÁ /1 KG]]</f>
        <v>5247340</v>
      </c>
      <c r="L217" s="44"/>
      <c r="M217" s="44"/>
      <c r="N217" s="44"/>
      <c r="O217" s="44"/>
      <c r="P217" s="44"/>
      <c r="Q217" s="44"/>
      <c r="R217" s="44"/>
      <c r="S217" s="44"/>
      <c r="T217" s="44"/>
      <c r="U217" s="44"/>
      <c r="V217" s="44"/>
      <c r="W217" s="44"/>
      <c r="X217" s="44"/>
      <c r="Y217" s="50"/>
      <c r="Z217" s="50"/>
      <c r="AA217" s="50"/>
      <c r="AB217" s="50"/>
      <c r="AC217" s="50"/>
      <c r="AD217" s="44"/>
      <c r="AE217" s="44"/>
      <c r="AF217" s="44"/>
      <c r="AG217" s="44"/>
      <c r="AH217" s="44"/>
      <c r="AI217" s="44"/>
      <c r="AJ217" s="44"/>
      <c r="AK217" s="44"/>
      <c r="AL217" s="44"/>
      <c r="AM217" s="44"/>
      <c r="AN217" s="44"/>
      <c r="AO217" s="51">
        <f>Table1[[#This Row],[SỐ LƯỢNG ]]-SUM(Table1[[#This Row],[XK ĐỒNG TÂM]:[XK LSX 8]])</f>
        <v>2026</v>
      </c>
      <c r="AP217" s="51">
        <f>Table1[[#This Row],[CÒN LẠI (gram)]]*Table1[[#This Row],[ĐƠN GIÁ /1 KG]]</f>
        <v>5247340</v>
      </c>
      <c r="AQ217" s="3" t="s">
        <v>25</v>
      </c>
      <c r="AR217" s="20"/>
      <c r="AS217" s="20"/>
      <c r="AT217" s="20"/>
      <c r="AU217" s="20"/>
    </row>
    <row r="218" spans="1:47" ht="30" customHeight="1" x14ac:dyDescent="0.35">
      <c r="A218" s="5">
        <v>215</v>
      </c>
      <c r="B218" s="47" t="s">
        <v>467</v>
      </c>
      <c r="C218" s="20"/>
      <c r="D218" s="118"/>
      <c r="E218" s="15" t="s">
        <v>131</v>
      </c>
      <c r="F218" s="43">
        <v>12000</v>
      </c>
      <c r="G218" s="52">
        <v>46042</v>
      </c>
      <c r="H218" s="26">
        <v>371</v>
      </c>
      <c r="I218" s="44"/>
      <c r="J218" s="44">
        <v>2200</v>
      </c>
      <c r="K218" s="16">
        <f>Table1[[#This Row],[SỐ LƯỢNG ]]*Table1[[#This Row],[ĐƠN GIÁ /1 KG]]</f>
        <v>26400000</v>
      </c>
      <c r="L218" s="44"/>
      <c r="M218" s="44"/>
      <c r="N218" s="44"/>
      <c r="O218" s="44"/>
      <c r="P218" s="44"/>
      <c r="Q218" s="44"/>
      <c r="R218" s="44"/>
      <c r="S218" s="44"/>
      <c r="T218" s="44"/>
      <c r="U218" s="44"/>
      <c r="V218" s="44"/>
      <c r="W218" s="44"/>
      <c r="X218" s="44"/>
      <c r="Y218" s="50"/>
      <c r="Z218" s="50"/>
      <c r="AA218" s="50"/>
      <c r="AB218" s="50"/>
      <c r="AC218" s="50"/>
      <c r="AD218" s="44"/>
      <c r="AE218" s="44"/>
      <c r="AF218" s="44"/>
      <c r="AG218" s="44"/>
      <c r="AH218" s="44"/>
      <c r="AI218" s="44"/>
      <c r="AJ218" s="44"/>
      <c r="AK218" s="44"/>
      <c r="AL218" s="44"/>
      <c r="AM218" s="44"/>
      <c r="AN218" s="44"/>
      <c r="AO218" s="51">
        <f>Table1[[#This Row],[SỐ LƯỢNG ]]-SUM(Table1[[#This Row],[XK ĐỒNG TÂM]:[XK LSX 8]])</f>
        <v>12000</v>
      </c>
      <c r="AP218" s="51">
        <f>Table1[[#This Row],[CÒN LẠI (gram)]]*Table1[[#This Row],[ĐƠN GIÁ /1 KG]]</f>
        <v>26400000</v>
      </c>
      <c r="AQ218" s="3" t="s">
        <v>132</v>
      </c>
      <c r="AR218" s="20"/>
      <c r="AS218" s="20"/>
      <c r="AT218" s="20"/>
      <c r="AU218" s="20"/>
    </row>
    <row r="219" spans="1:47" ht="28.5" customHeight="1" x14ac:dyDescent="0.35">
      <c r="A219" s="5">
        <v>216</v>
      </c>
      <c r="B219" s="47" t="s">
        <v>468</v>
      </c>
      <c r="C219" s="20"/>
      <c r="D219" s="116"/>
      <c r="E219" s="15" t="s">
        <v>24</v>
      </c>
      <c r="F219" s="43">
        <v>6000</v>
      </c>
      <c r="G219" s="52">
        <v>46042</v>
      </c>
      <c r="H219" s="26">
        <v>371</v>
      </c>
      <c r="I219" s="44"/>
      <c r="J219" s="44">
        <v>3150</v>
      </c>
      <c r="K219" s="16">
        <f>Table1[[#This Row],[SỐ LƯỢNG ]]*Table1[[#This Row],[ĐƠN GIÁ /1 KG]]</f>
        <v>18900000</v>
      </c>
      <c r="L219" s="44"/>
      <c r="M219" s="44"/>
      <c r="N219" s="44"/>
      <c r="O219" s="44"/>
      <c r="P219" s="44"/>
      <c r="Q219" s="44"/>
      <c r="R219" s="44"/>
      <c r="S219" s="44"/>
      <c r="T219" s="44"/>
      <c r="U219" s="44"/>
      <c r="V219" s="44"/>
      <c r="W219" s="44"/>
      <c r="X219" s="44"/>
      <c r="Y219" s="50"/>
      <c r="Z219" s="50"/>
      <c r="AA219" s="50"/>
      <c r="AB219" s="50"/>
      <c r="AC219" s="50"/>
      <c r="AD219" s="44"/>
      <c r="AE219" s="44"/>
      <c r="AF219" s="44"/>
      <c r="AG219" s="44"/>
      <c r="AH219" s="44"/>
      <c r="AI219" s="44"/>
      <c r="AJ219" s="44"/>
      <c r="AK219" s="44"/>
      <c r="AL219" s="44"/>
      <c r="AM219" s="44"/>
      <c r="AN219" s="44"/>
      <c r="AO219" s="51">
        <f>Table1[[#This Row],[SỐ LƯỢNG ]]-SUM(Table1[[#This Row],[XK ĐỒNG TÂM]:[XK LSX 8]])</f>
        <v>6000</v>
      </c>
      <c r="AP219" s="51">
        <f>Table1[[#This Row],[CÒN LẠI (gram)]]*Table1[[#This Row],[ĐƠN GIÁ /1 KG]]</f>
        <v>18900000</v>
      </c>
      <c r="AQ219" s="3" t="s">
        <v>132</v>
      </c>
      <c r="AR219" s="20"/>
      <c r="AS219" s="20"/>
      <c r="AT219" s="20"/>
      <c r="AU219" s="20"/>
    </row>
    <row r="220" spans="1:47" ht="33.75" customHeight="1" x14ac:dyDescent="0.35">
      <c r="A220" s="5">
        <v>217</v>
      </c>
      <c r="B220" s="47" t="s">
        <v>469</v>
      </c>
      <c r="C220" s="20"/>
      <c r="D220" s="118"/>
      <c r="E220" s="15" t="s">
        <v>24</v>
      </c>
      <c r="F220" s="43">
        <v>6000</v>
      </c>
      <c r="G220" s="52">
        <v>46042</v>
      </c>
      <c r="H220" s="26">
        <v>371</v>
      </c>
      <c r="I220" s="44"/>
      <c r="J220" s="44">
        <v>50</v>
      </c>
      <c r="K220" s="16">
        <f>Table1[[#This Row],[SỐ LƯỢNG ]]*Table1[[#This Row],[ĐƠN GIÁ /1 KG]]</f>
        <v>300000</v>
      </c>
      <c r="L220" s="44"/>
      <c r="M220" s="44"/>
      <c r="N220" s="44"/>
      <c r="O220" s="44"/>
      <c r="P220" s="44"/>
      <c r="Q220" s="44"/>
      <c r="R220" s="44"/>
      <c r="S220" s="44"/>
      <c r="T220" s="44"/>
      <c r="U220" s="44"/>
      <c r="V220" s="44"/>
      <c r="W220" s="44"/>
      <c r="X220" s="44"/>
      <c r="Y220" s="50"/>
      <c r="Z220" s="50"/>
      <c r="AA220" s="50"/>
      <c r="AB220" s="50"/>
      <c r="AC220" s="50"/>
      <c r="AD220" s="44"/>
      <c r="AE220" s="44"/>
      <c r="AF220" s="44"/>
      <c r="AG220" s="44"/>
      <c r="AH220" s="44"/>
      <c r="AI220" s="44"/>
      <c r="AJ220" s="44"/>
      <c r="AK220" s="44"/>
      <c r="AL220" s="44"/>
      <c r="AM220" s="44"/>
      <c r="AN220" s="44"/>
      <c r="AO220" s="51">
        <f>Table1[[#This Row],[SỐ LƯỢNG ]]-SUM(Table1[[#This Row],[XK ĐỒNG TÂM]:[XK LSX 8]])</f>
        <v>6000</v>
      </c>
      <c r="AP220" s="51">
        <f>Table1[[#This Row],[CÒN LẠI (gram)]]*Table1[[#This Row],[ĐƠN GIÁ /1 KG]]</f>
        <v>300000</v>
      </c>
      <c r="AQ220" s="3" t="s">
        <v>132</v>
      </c>
      <c r="AR220" s="20"/>
      <c r="AS220" s="20"/>
      <c r="AT220" s="20"/>
      <c r="AU220" s="20"/>
    </row>
    <row r="221" spans="1:47" ht="35.25" customHeight="1" x14ac:dyDescent="0.35">
      <c r="A221" s="5">
        <v>218</v>
      </c>
      <c r="B221" s="66" t="s">
        <v>470</v>
      </c>
      <c r="C221" s="20"/>
      <c r="D221" s="117" t="s">
        <v>394</v>
      </c>
      <c r="E221" s="65" t="s">
        <v>17</v>
      </c>
      <c r="F221" s="43">
        <v>5</v>
      </c>
      <c r="G221" s="52">
        <v>46043</v>
      </c>
      <c r="H221" s="26">
        <v>11</v>
      </c>
      <c r="I221" s="44">
        <f>Table1[[#This Row],[SỐ LƯỢNG ]]*1000</f>
        <v>5000</v>
      </c>
      <c r="J221" s="44">
        <v>490000</v>
      </c>
      <c r="K221" s="16">
        <f>Table1[[#This Row],[SỐ LƯỢNG ]]*Table1[[#This Row],[ĐƠN GIÁ /1 KG]]</f>
        <v>2450000</v>
      </c>
      <c r="L221" s="44"/>
      <c r="M221" s="44"/>
      <c r="N221" s="44"/>
      <c r="O221" s="44"/>
      <c r="P221" s="44"/>
      <c r="Q221" s="44"/>
      <c r="R221" s="44"/>
      <c r="S221" s="44"/>
      <c r="T221" s="44"/>
      <c r="U221" s="44"/>
      <c r="V221" s="44"/>
      <c r="W221" s="44"/>
      <c r="X221" s="44"/>
      <c r="Y221" s="50"/>
      <c r="Z221" s="50"/>
      <c r="AA221" s="50"/>
      <c r="AB221" s="50"/>
      <c r="AC221" s="50"/>
      <c r="AD221" s="44"/>
      <c r="AE221" s="44"/>
      <c r="AF221" s="44"/>
      <c r="AG221" s="44"/>
      <c r="AH221" s="44"/>
      <c r="AI221" s="44"/>
      <c r="AJ221" s="44"/>
      <c r="AK221" s="44"/>
      <c r="AL221" s="44"/>
      <c r="AM221" s="44"/>
      <c r="AN221" s="44"/>
      <c r="AO221" s="45">
        <f>Table1[[#This Row],[QUY ĐỔI GRAM]]-SUM(Table1[[#This Row],[XK ĐỒNG TÂM]:[XK LSX 8]])</f>
        <v>5000</v>
      </c>
      <c r="AP221" s="51">
        <f>Table1[[#This Row],[CÒN LẠI (gram)]]*Table1[[#This Row],[ĐƠN GIÁ /1 KG]]/1000</f>
        <v>2450000</v>
      </c>
      <c r="AQ221" s="88" t="s">
        <v>218</v>
      </c>
      <c r="AR221" s="20"/>
      <c r="AS221" s="20"/>
      <c r="AT221" s="20"/>
      <c r="AU221" s="20"/>
    </row>
    <row r="222" spans="1:47" ht="35.25" customHeight="1" x14ac:dyDescent="0.35">
      <c r="A222" s="5">
        <v>219</v>
      </c>
      <c r="B222" s="66" t="s">
        <v>294</v>
      </c>
      <c r="C222" s="20"/>
      <c r="D222" s="8" t="s">
        <v>416</v>
      </c>
      <c r="E222" s="65" t="s">
        <v>17</v>
      </c>
      <c r="F222" s="43">
        <v>2</v>
      </c>
      <c r="G222" s="52">
        <v>46043</v>
      </c>
      <c r="H222" s="26">
        <v>11</v>
      </c>
      <c r="I222" s="44">
        <f>Table1[[#This Row],[SỐ LƯỢNG ]]*1000</f>
        <v>2000</v>
      </c>
      <c r="J222" s="44">
        <v>820000</v>
      </c>
      <c r="K222" s="16">
        <f>Table1[[#This Row],[SỐ LƯỢNG ]]*Table1[[#This Row],[ĐƠN GIÁ /1 KG]]</f>
        <v>1640000</v>
      </c>
      <c r="L222" s="44"/>
      <c r="M222" s="44"/>
      <c r="N222" s="44"/>
      <c r="O222" s="44"/>
      <c r="P222" s="44"/>
      <c r="Q222" s="44"/>
      <c r="R222" s="44"/>
      <c r="S222" s="44"/>
      <c r="T222" s="44"/>
      <c r="U222" s="44"/>
      <c r="V222" s="44"/>
      <c r="W222" s="44"/>
      <c r="X222" s="44"/>
      <c r="Y222" s="50"/>
      <c r="Z222" s="50"/>
      <c r="AA222" s="50"/>
      <c r="AB222" s="50"/>
      <c r="AC222" s="50"/>
      <c r="AD222" s="44"/>
      <c r="AE222" s="44"/>
      <c r="AF222" s="44"/>
      <c r="AG222" s="43">
        <v>268.8</v>
      </c>
      <c r="AH222" s="43">
        <v>156</v>
      </c>
      <c r="AI222" s="43"/>
      <c r="AJ222" s="43"/>
      <c r="AK222" s="43"/>
      <c r="AL222" s="43"/>
      <c r="AM222" s="43"/>
      <c r="AN222" s="44"/>
      <c r="AO222" s="45">
        <f>Table1[[#This Row],[QUY ĐỔI GRAM]]-SUM(Table1[[#This Row],[XK ĐỒNG TÂM]:[XK LSX 8]])</f>
        <v>1575.2</v>
      </c>
      <c r="AP222" s="51">
        <f>Table1[[#This Row],[CÒN LẠI (gram)]]*Table1[[#This Row],[ĐƠN GIÁ /1 KG]]/1000</f>
        <v>1291664</v>
      </c>
      <c r="AQ222" s="88" t="s">
        <v>218</v>
      </c>
      <c r="AR222" s="20"/>
      <c r="AS222" s="20"/>
      <c r="AT222" s="20"/>
      <c r="AU222" s="20"/>
    </row>
    <row r="223" spans="1:47" ht="35.25" customHeight="1" x14ac:dyDescent="0.35">
      <c r="A223" s="5">
        <v>220</v>
      </c>
      <c r="B223" s="53" t="s">
        <v>471</v>
      </c>
      <c r="C223" s="20"/>
      <c r="D223" s="117" t="s">
        <v>480</v>
      </c>
      <c r="E223" s="65" t="s">
        <v>17</v>
      </c>
      <c r="F223" s="43">
        <v>20</v>
      </c>
      <c r="G223" s="52">
        <v>46043</v>
      </c>
      <c r="H223" s="26">
        <v>11</v>
      </c>
      <c r="I223" s="44">
        <f>Table1[[#This Row],[SỐ LƯỢNG ]]*1000</f>
        <v>20000</v>
      </c>
      <c r="J223" s="44">
        <v>50000</v>
      </c>
      <c r="K223" s="16">
        <f>Table1[[#This Row],[SỐ LƯỢNG ]]*Table1[[#This Row],[ĐƠN GIÁ /1 KG]]</f>
        <v>1000000</v>
      </c>
      <c r="L223" s="44"/>
      <c r="M223" s="44"/>
      <c r="N223" s="44"/>
      <c r="O223" s="44"/>
      <c r="P223" s="44"/>
      <c r="Q223" s="44"/>
      <c r="R223" s="44"/>
      <c r="S223" s="44"/>
      <c r="T223" s="44"/>
      <c r="U223" s="44"/>
      <c r="V223" s="44"/>
      <c r="W223" s="44"/>
      <c r="X223" s="44"/>
      <c r="Y223" s="50"/>
      <c r="Z223" s="50"/>
      <c r="AA223" s="50"/>
      <c r="AB223" s="50"/>
      <c r="AC223" s="50"/>
      <c r="AD223" s="44"/>
      <c r="AE223" s="44"/>
      <c r="AF223" s="44"/>
      <c r="AG223" s="44"/>
      <c r="AH223" s="44"/>
      <c r="AI223" s="44"/>
      <c r="AJ223" s="44"/>
      <c r="AK223" s="44"/>
      <c r="AL223" s="44"/>
      <c r="AM223" s="44"/>
      <c r="AN223" s="44"/>
      <c r="AO223" s="45">
        <f>Table1[[#This Row],[QUY ĐỔI GRAM]]-SUM(Table1[[#This Row],[XK ĐỒNG TÂM]:[XK LSX 8]])</f>
        <v>20000</v>
      </c>
      <c r="AP223" s="51">
        <f>Table1[[#This Row],[CÒN LẠI (gram)]]*Table1[[#This Row],[ĐƠN GIÁ /1 KG]]/1000</f>
        <v>1000000</v>
      </c>
      <c r="AQ223" s="88" t="s">
        <v>218</v>
      </c>
      <c r="AR223" s="20"/>
      <c r="AS223" s="20"/>
      <c r="AT223" s="20"/>
      <c r="AU223" s="20"/>
    </row>
    <row r="224" spans="1:47" ht="35.25" customHeight="1" x14ac:dyDescent="0.35">
      <c r="A224" s="5">
        <v>221</v>
      </c>
      <c r="B224" s="53" t="s">
        <v>472</v>
      </c>
      <c r="C224" s="20"/>
      <c r="D224" s="119" t="s">
        <v>54</v>
      </c>
      <c r="E224" s="65" t="s">
        <v>17</v>
      </c>
      <c r="F224" s="43">
        <v>10</v>
      </c>
      <c r="G224" s="52">
        <v>46043</v>
      </c>
      <c r="H224" s="26">
        <v>11</v>
      </c>
      <c r="I224" s="44">
        <f>Table1[[#This Row],[SỐ LƯỢNG ]]*1000</f>
        <v>10000</v>
      </c>
      <c r="J224" s="44">
        <v>260000</v>
      </c>
      <c r="K224" s="16">
        <f>Table1[[#This Row],[SỐ LƯỢNG ]]*Table1[[#This Row],[ĐƠN GIÁ /1 KG]]</f>
        <v>2600000</v>
      </c>
      <c r="L224" s="44"/>
      <c r="M224" s="44"/>
      <c r="N224" s="44"/>
      <c r="O224" s="44"/>
      <c r="P224" s="44"/>
      <c r="Q224" s="44"/>
      <c r="R224" s="44"/>
      <c r="S224" s="44"/>
      <c r="T224" s="44"/>
      <c r="U224" s="44"/>
      <c r="V224" s="44"/>
      <c r="W224" s="44"/>
      <c r="X224" s="44"/>
      <c r="Y224" s="50"/>
      <c r="Z224" s="50"/>
      <c r="AA224" s="50"/>
      <c r="AB224" s="50"/>
      <c r="AC224" s="50"/>
      <c r="AD224" s="44"/>
      <c r="AE224" s="113">
        <v>100.95</v>
      </c>
      <c r="AF224" s="44"/>
      <c r="AG224" s="44"/>
      <c r="AH224" s="44"/>
      <c r="AI224" s="44"/>
      <c r="AJ224" s="44"/>
      <c r="AK224" s="44"/>
      <c r="AL224" s="44"/>
      <c r="AM224" s="44"/>
      <c r="AN224" s="44"/>
      <c r="AO224" s="45">
        <f>Table1[[#This Row],[QUY ĐỔI GRAM]]-SUM(Table1[[#This Row],[XK ĐỒNG TÂM]:[XK LSX 8]])</f>
        <v>9899.0499999999993</v>
      </c>
      <c r="AP224" s="51">
        <f>Table1[[#This Row],[CÒN LẠI (gram)]]*Table1[[#This Row],[ĐƠN GIÁ /1 KG]]/1000</f>
        <v>2573753</v>
      </c>
      <c r="AQ224" s="88" t="s">
        <v>218</v>
      </c>
      <c r="AR224" s="20"/>
      <c r="AS224" s="20"/>
      <c r="AT224" s="20"/>
      <c r="AU224" s="20"/>
    </row>
    <row r="225" spans="1:47" ht="35.25" customHeight="1" x14ac:dyDescent="0.35">
      <c r="A225" s="5">
        <v>222</v>
      </c>
      <c r="B225" s="53" t="s">
        <v>473</v>
      </c>
      <c r="C225" s="20"/>
      <c r="D225" s="117" t="s">
        <v>481</v>
      </c>
      <c r="E225" s="65" t="s">
        <v>17</v>
      </c>
      <c r="F225" s="43">
        <v>15</v>
      </c>
      <c r="G225" s="52">
        <v>46043</v>
      </c>
      <c r="H225" s="26">
        <v>11</v>
      </c>
      <c r="I225" s="44">
        <f>Table1[[#This Row],[SỐ LƯỢNG ]]*1000</f>
        <v>15000</v>
      </c>
      <c r="J225" s="44">
        <v>55000</v>
      </c>
      <c r="K225" s="16">
        <f>Table1[[#This Row],[SỐ LƯỢNG ]]*Table1[[#This Row],[ĐƠN GIÁ /1 KG]]</f>
        <v>825000</v>
      </c>
      <c r="L225" s="44"/>
      <c r="M225" s="44"/>
      <c r="N225" s="44"/>
      <c r="O225" s="44"/>
      <c r="P225" s="44"/>
      <c r="Q225" s="44"/>
      <c r="R225" s="44"/>
      <c r="S225" s="44"/>
      <c r="T225" s="44"/>
      <c r="U225" s="44"/>
      <c r="V225" s="44"/>
      <c r="W225" s="44"/>
      <c r="X225" s="44"/>
      <c r="Y225" s="50"/>
      <c r="Z225" s="50"/>
      <c r="AA225" s="50"/>
      <c r="AB225" s="50"/>
      <c r="AC225" s="50"/>
      <c r="AD225" s="44"/>
      <c r="AE225" s="44"/>
      <c r="AF225" s="44"/>
      <c r="AG225" s="44"/>
      <c r="AH225" s="44">
        <v>2320</v>
      </c>
      <c r="AI225" s="44"/>
      <c r="AJ225" s="44"/>
      <c r="AK225" s="44"/>
      <c r="AL225" s="44"/>
      <c r="AM225" s="44"/>
      <c r="AN225" s="44"/>
      <c r="AO225" s="45">
        <f>Table1[[#This Row],[QUY ĐỔI GRAM]]-SUM(Table1[[#This Row],[XK ĐỒNG TÂM]:[XK LSX 8]])</f>
        <v>12680</v>
      </c>
      <c r="AP225" s="51">
        <f>Table1[[#This Row],[CÒN LẠI (gram)]]*Table1[[#This Row],[ĐƠN GIÁ /1 KG]]/1000</f>
        <v>697400</v>
      </c>
      <c r="AQ225" s="88" t="s">
        <v>218</v>
      </c>
      <c r="AR225" s="20"/>
      <c r="AS225" s="20"/>
      <c r="AT225" s="20"/>
      <c r="AU225" s="20"/>
    </row>
    <row r="226" spans="1:47" ht="35.25" customHeight="1" x14ac:dyDescent="0.35">
      <c r="A226" s="5">
        <v>223</v>
      </c>
      <c r="B226" s="53" t="s">
        <v>289</v>
      </c>
      <c r="C226" s="20"/>
      <c r="D226" s="119" t="s">
        <v>73</v>
      </c>
      <c r="E226" s="15" t="s">
        <v>17</v>
      </c>
      <c r="F226" s="43">
        <v>200</v>
      </c>
      <c r="G226" s="52">
        <v>46043</v>
      </c>
      <c r="H226" s="26">
        <v>11</v>
      </c>
      <c r="I226" s="44">
        <f>Table1[[#This Row],[SỐ LƯỢNG ]]*1000</f>
        <v>200000</v>
      </c>
      <c r="J226" s="44">
        <v>33000</v>
      </c>
      <c r="K226" s="16">
        <f>Table1[[#This Row],[SỐ LƯỢNG ]]*Table1[[#This Row],[ĐƠN GIÁ /1 KG]]</f>
        <v>6600000</v>
      </c>
      <c r="L226" s="44"/>
      <c r="M226" s="44"/>
      <c r="N226" s="44"/>
      <c r="O226" s="44"/>
      <c r="P226" s="44"/>
      <c r="Q226" s="44"/>
      <c r="R226" s="44"/>
      <c r="S226" s="44"/>
      <c r="T226" s="44"/>
      <c r="U226" s="44"/>
      <c r="V226" s="44"/>
      <c r="W226" s="44"/>
      <c r="X226" s="44"/>
      <c r="Y226" s="44"/>
      <c r="Z226" s="44"/>
      <c r="AA226" s="44"/>
      <c r="AB226" s="44"/>
      <c r="AC226" s="44"/>
      <c r="AD226" s="44"/>
      <c r="AE226" s="44">
        <v>3255</v>
      </c>
      <c r="AF226" s="113">
        <v>31227.24</v>
      </c>
      <c r="AG226" s="153">
        <v>31642.68</v>
      </c>
      <c r="AH226" s="153"/>
      <c r="AI226" s="153"/>
      <c r="AJ226" s="153"/>
      <c r="AK226" s="153"/>
      <c r="AL226" s="153"/>
      <c r="AM226" s="153"/>
      <c r="AN226" s="44"/>
      <c r="AO226" s="45">
        <f>Table1[[#This Row],[QUY ĐỔI GRAM]]-SUM(Table1[[#This Row],[XK ĐỒNG TÂM]:[XK LSX 8]])</f>
        <v>133875.07999999999</v>
      </c>
      <c r="AP226" s="45">
        <f>Table1[[#This Row],[CÒN LẠI (gram)]]*Table1[[#This Row],[ĐƠN GIÁ /1 KG]]/1000</f>
        <v>4417877.6399999997</v>
      </c>
      <c r="AQ226" s="3" t="s">
        <v>218</v>
      </c>
      <c r="AR226" s="20"/>
      <c r="AS226" s="20"/>
      <c r="AT226" s="20"/>
      <c r="AU226" s="20"/>
    </row>
    <row r="227" spans="1:47" ht="26.25" customHeight="1" x14ac:dyDescent="0.35">
      <c r="A227" s="5">
        <v>224</v>
      </c>
      <c r="B227" s="53" t="s">
        <v>474</v>
      </c>
      <c r="C227" s="20"/>
      <c r="D227" s="117" t="s">
        <v>408</v>
      </c>
      <c r="E227" s="65" t="s">
        <v>17</v>
      </c>
      <c r="F227" s="43">
        <v>70</v>
      </c>
      <c r="G227" s="52">
        <v>46043</v>
      </c>
      <c r="H227" s="26">
        <v>11</v>
      </c>
      <c r="I227" s="44">
        <f>Table1[[#This Row],[SỐ LƯỢNG ]]*1000</f>
        <v>70000</v>
      </c>
      <c r="J227" s="44">
        <v>480000</v>
      </c>
      <c r="K227" s="16">
        <f>Table1[[#This Row],[SỐ LƯỢNG ]]*Table1[[#This Row],[ĐƠN GIÁ /1 KG]]</f>
        <v>33600000</v>
      </c>
      <c r="L227" s="44"/>
      <c r="M227" s="44"/>
      <c r="N227" s="44"/>
      <c r="O227" s="44"/>
      <c r="P227" s="44"/>
      <c r="Q227" s="44"/>
      <c r="R227" s="44"/>
      <c r="S227" s="44"/>
      <c r="T227" s="44"/>
      <c r="U227" s="44"/>
      <c r="V227" s="44"/>
      <c r="W227" s="44"/>
      <c r="X227" s="44"/>
      <c r="Y227" s="50"/>
      <c r="Z227" s="50"/>
      <c r="AA227" s="50"/>
      <c r="AB227" s="50"/>
      <c r="AC227" s="50"/>
      <c r="AD227" s="44"/>
      <c r="AE227" s="44"/>
      <c r="AF227" s="44"/>
      <c r="AG227" s="44"/>
      <c r="AH227" s="44"/>
      <c r="AI227" s="44"/>
      <c r="AJ227" s="44"/>
      <c r="AK227" s="44"/>
      <c r="AL227" s="44"/>
      <c r="AM227" s="44"/>
      <c r="AN227" s="44"/>
      <c r="AO227" s="45">
        <f>Table1[[#This Row],[QUY ĐỔI GRAM]]-SUM(Table1[[#This Row],[XK ĐỒNG TÂM]:[XK LSX 8]])</f>
        <v>70000</v>
      </c>
      <c r="AP227" s="51">
        <f>Table1[[#This Row],[CÒN LẠI (gram)]]*Table1[[#This Row],[ĐƠN GIÁ /1 KG]]/1000</f>
        <v>33600000</v>
      </c>
      <c r="AQ227" s="88" t="s">
        <v>218</v>
      </c>
      <c r="AR227" s="20"/>
      <c r="AS227" s="20"/>
      <c r="AT227" s="20"/>
      <c r="AU227" s="20"/>
    </row>
    <row r="228" spans="1:47" ht="35.25" customHeight="1" x14ac:dyDescent="0.35">
      <c r="A228" s="5">
        <v>225</v>
      </c>
      <c r="B228" s="53" t="s">
        <v>475</v>
      </c>
      <c r="C228" s="20"/>
      <c r="D228" s="119" t="s">
        <v>482</v>
      </c>
      <c r="E228" s="65" t="s">
        <v>17</v>
      </c>
      <c r="F228" s="43">
        <v>165</v>
      </c>
      <c r="G228" s="52">
        <v>46043</v>
      </c>
      <c r="H228" s="26">
        <v>11</v>
      </c>
      <c r="I228" s="44">
        <f>Table1[[#This Row],[SỐ LƯỢNG ]]*1000</f>
        <v>165000</v>
      </c>
      <c r="J228" s="44">
        <v>36000</v>
      </c>
      <c r="K228" s="16">
        <f>Table1[[#This Row],[SỐ LƯỢNG ]]*Table1[[#This Row],[ĐƠN GIÁ /1 KG]]</f>
        <v>5940000</v>
      </c>
      <c r="L228" s="44"/>
      <c r="M228" s="44"/>
      <c r="N228" s="44"/>
      <c r="O228" s="44"/>
      <c r="P228" s="44"/>
      <c r="Q228" s="44"/>
      <c r="R228" s="44"/>
      <c r="S228" s="44"/>
      <c r="T228" s="44"/>
      <c r="U228" s="44"/>
      <c r="V228" s="44"/>
      <c r="W228" s="44"/>
      <c r="X228" s="44"/>
      <c r="Y228" s="50"/>
      <c r="Z228" s="50"/>
      <c r="AA228" s="50"/>
      <c r="AB228" s="50"/>
      <c r="AC228" s="50"/>
      <c r="AD228" s="44"/>
      <c r="AE228" s="44"/>
      <c r="AF228" s="44"/>
      <c r="AG228" s="44"/>
      <c r="AH228" s="44"/>
      <c r="AI228" s="44"/>
      <c r="AJ228" s="44"/>
      <c r="AK228" s="44"/>
      <c r="AL228" s="44"/>
      <c r="AM228" s="44"/>
      <c r="AN228" s="44"/>
      <c r="AO228" s="45">
        <f>Table1[[#This Row],[QUY ĐỔI GRAM]]-SUM(Table1[[#This Row],[XK ĐỒNG TÂM]:[XK LSX 8]])</f>
        <v>165000</v>
      </c>
      <c r="AP228" s="51">
        <f>Table1[[#This Row],[CÒN LẠI (gram)]]*Table1[[#This Row],[ĐƠN GIÁ /1 KG]]/1000</f>
        <v>5940000</v>
      </c>
      <c r="AQ228" s="88" t="s">
        <v>218</v>
      </c>
      <c r="AR228" s="20"/>
      <c r="AS228" s="20"/>
      <c r="AT228" s="20"/>
      <c r="AU228" s="20"/>
    </row>
    <row r="229" spans="1:47" ht="35.25" customHeight="1" x14ac:dyDescent="0.35">
      <c r="A229" s="5">
        <v>226</v>
      </c>
      <c r="B229" s="53" t="s">
        <v>476</v>
      </c>
      <c r="C229" s="20"/>
      <c r="D229" s="117" t="s">
        <v>483</v>
      </c>
      <c r="E229" s="65" t="s">
        <v>17</v>
      </c>
      <c r="F229" s="43">
        <v>20</v>
      </c>
      <c r="G229" s="52">
        <v>46043</v>
      </c>
      <c r="H229" s="26">
        <v>11</v>
      </c>
      <c r="I229" s="44">
        <f>Table1[[#This Row],[SỐ LƯỢNG ]]*1000</f>
        <v>20000</v>
      </c>
      <c r="J229" s="44">
        <v>630000</v>
      </c>
      <c r="K229" s="16">
        <f>Table1[[#This Row],[SỐ LƯỢNG ]]*Table1[[#This Row],[ĐƠN GIÁ /1 KG]]</f>
        <v>12600000</v>
      </c>
      <c r="L229" s="44"/>
      <c r="M229" s="44"/>
      <c r="N229" s="44"/>
      <c r="O229" s="44"/>
      <c r="P229" s="44"/>
      <c r="Q229" s="44"/>
      <c r="R229" s="44"/>
      <c r="S229" s="44"/>
      <c r="T229" s="44"/>
      <c r="U229" s="44"/>
      <c r="V229" s="44"/>
      <c r="W229" s="44"/>
      <c r="X229" s="44"/>
      <c r="Y229" s="50"/>
      <c r="Z229" s="50"/>
      <c r="AA229" s="50"/>
      <c r="AB229" s="50"/>
      <c r="AC229" s="50"/>
      <c r="AD229" s="44"/>
      <c r="AE229" s="113">
        <v>60.78</v>
      </c>
      <c r="AF229" s="44">
        <v>5412</v>
      </c>
      <c r="AG229" s="44">
        <v>5484</v>
      </c>
      <c r="AH229" s="44"/>
      <c r="AI229" s="44"/>
      <c r="AJ229" s="44"/>
      <c r="AK229" s="44"/>
      <c r="AL229" s="44"/>
      <c r="AM229" s="44"/>
      <c r="AN229" s="44"/>
      <c r="AO229" s="122">
        <f>Table1[[#This Row],[QUY ĐỔI GRAM]]-SUM(Table1[[#This Row],[XK ĐỒNG TÂM]:[XK LSX 8]])</f>
        <v>9043.2200000000012</v>
      </c>
      <c r="AP229" s="51">
        <f>Table1[[#This Row],[CÒN LẠI (gram)]]*Table1[[#This Row],[ĐƠN GIÁ /1 KG]]/1000</f>
        <v>5697228.6000000006</v>
      </c>
      <c r="AQ229" s="88" t="s">
        <v>218</v>
      </c>
      <c r="AR229" s="20"/>
      <c r="AS229" s="20"/>
      <c r="AT229" s="20"/>
      <c r="AU229" s="20"/>
    </row>
    <row r="230" spans="1:47" ht="35.25" customHeight="1" x14ac:dyDescent="0.35">
      <c r="A230" s="5">
        <v>227</v>
      </c>
      <c r="B230" s="53" t="s">
        <v>487</v>
      </c>
      <c r="C230" s="20"/>
      <c r="D230" s="159" t="s">
        <v>417</v>
      </c>
      <c r="E230" s="65" t="s">
        <v>17</v>
      </c>
      <c r="F230" s="43">
        <v>65</v>
      </c>
      <c r="G230" s="52">
        <v>46045</v>
      </c>
      <c r="H230" s="26">
        <v>557</v>
      </c>
      <c r="I230" s="44">
        <f>Table1[[#This Row],[SỐ LƯỢNG ]]*1000</f>
        <v>65000</v>
      </c>
      <c r="J230" s="44">
        <v>155556</v>
      </c>
      <c r="K230" s="16">
        <f>Table1[[#This Row],[SỐ LƯỢNG ]]*Table1[[#This Row],[ĐƠN GIÁ /1 KG]]</f>
        <v>10111140</v>
      </c>
      <c r="L230" s="44"/>
      <c r="M230" s="44"/>
      <c r="N230" s="44"/>
      <c r="O230" s="44"/>
      <c r="P230" s="44"/>
      <c r="Q230" s="44"/>
      <c r="R230" s="44"/>
      <c r="S230" s="44"/>
      <c r="T230" s="44"/>
      <c r="U230" s="44"/>
      <c r="V230" s="44"/>
      <c r="W230" s="44"/>
      <c r="X230" s="44"/>
      <c r="Y230" s="50"/>
      <c r="Z230" s="50"/>
      <c r="AA230" s="50"/>
      <c r="AB230" s="50"/>
      <c r="AC230" s="50"/>
      <c r="AD230" s="44"/>
      <c r="AE230" s="44">
        <v>2026</v>
      </c>
      <c r="AF230" s="44"/>
      <c r="AG230" s="44"/>
      <c r="AH230" s="43">
        <v>39334.5</v>
      </c>
      <c r="AI230" s="44"/>
      <c r="AJ230" s="44"/>
      <c r="AK230" s="44"/>
      <c r="AL230" s="44"/>
      <c r="AM230" s="44"/>
      <c r="AN230" s="44"/>
      <c r="AO230" s="179">
        <f>Table1[[#This Row],[QUY ĐỔI GRAM]]-SUM(Table1[[#This Row],[XK ĐỒNG TÂM]:[XK LSX 8]])</f>
        <v>23639.5</v>
      </c>
      <c r="AP230" s="51">
        <f>Table1[[#This Row],[CÒN LẠI (gram)]]*Table1[[#This Row],[ĐƠN GIÁ /1 KG]]/1000</f>
        <v>3677266.0619999999</v>
      </c>
      <c r="AQ230" s="3" t="s">
        <v>275</v>
      </c>
      <c r="AR230" s="20"/>
      <c r="AS230" s="20"/>
      <c r="AT230" s="20"/>
      <c r="AU230" s="20"/>
    </row>
    <row r="231" spans="1:47" ht="35.25" customHeight="1" x14ac:dyDescent="0.35">
      <c r="A231" s="5">
        <v>228</v>
      </c>
      <c r="B231" s="124" t="s">
        <v>488</v>
      </c>
      <c r="C231" s="125"/>
      <c r="D231" s="134" t="s">
        <v>425</v>
      </c>
      <c r="E231" s="65" t="s">
        <v>17</v>
      </c>
      <c r="F231" s="126">
        <v>11</v>
      </c>
      <c r="G231" s="127">
        <v>46046</v>
      </c>
      <c r="H231" s="128">
        <v>560</v>
      </c>
      <c r="I231" s="129">
        <f>Table1[[#This Row],[SỐ LƯỢNG ]]*1000</f>
        <v>11000</v>
      </c>
      <c r="J231" s="129">
        <v>96500</v>
      </c>
      <c r="K231" s="16">
        <f>Table1[[#This Row],[SỐ LƯỢNG ]]*Table1[[#This Row],[ĐƠN GIÁ /1 KG]]</f>
        <v>1061500</v>
      </c>
      <c r="L231" s="129"/>
      <c r="M231" s="129"/>
      <c r="N231" s="129"/>
      <c r="O231" s="129"/>
      <c r="P231" s="129"/>
      <c r="Q231" s="129"/>
      <c r="R231" s="129"/>
      <c r="S231" s="129"/>
      <c r="T231" s="129"/>
      <c r="U231" s="129"/>
      <c r="V231" s="129"/>
      <c r="W231" s="129"/>
      <c r="X231" s="129"/>
      <c r="Y231" s="130"/>
      <c r="Z231" s="130"/>
      <c r="AA231" s="130"/>
      <c r="AB231" s="130"/>
      <c r="AC231" s="130"/>
      <c r="AD231" s="129"/>
      <c r="AE231" s="129"/>
      <c r="AF231" s="129"/>
      <c r="AG231" s="129"/>
      <c r="AH231" s="129"/>
      <c r="AI231" s="129"/>
      <c r="AJ231" s="129"/>
      <c r="AK231" s="129"/>
      <c r="AL231" s="129"/>
      <c r="AM231" s="129"/>
      <c r="AN231" s="129"/>
      <c r="AO231" s="132">
        <f>Table1[[#This Row],[QUY ĐỔI GRAM]]-SUM(Table1[[#This Row],[XK ĐỒNG TÂM]:[XK LSX 8]])</f>
        <v>11000</v>
      </c>
      <c r="AP231" s="133">
        <f>Table1[[#This Row],[CÒN LẠI (gram)]]*Table1[[#This Row],[ĐƠN GIÁ /1 KG]]/1000</f>
        <v>1061500</v>
      </c>
      <c r="AQ231" s="3" t="s">
        <v>275</v>
      </c>
      <c r="AR231" s="125"/>
      <c r="AS231" s="125"/>
      <c r="AT231" s="125"/>
      <c r="AU231" s="125"/>
    </row>
    <row r="232" spans="1:47" ht="35.25" customHeight="1" x14ac:dyDescent="0.35">
      <c r="A232" s="5">
        <v>229</v>
      </c>
      <c r="B232" s="124" t="s">
        <v>328</v>
      </c>
      <c r="C232" s="125"/>
      <c r="D232" s="135" t="s">
        <v>331</v>
      </c>
      <c r="E232" s="65" t="s">
        <v>17</v>
      </c>
      <c r="F232" s="126">
        <v>21</v>
      </c>
      <c r="G232" s="127">
        <v>46046</v>
      </c>
      <c r="H232" s="128">
        <v>560</v>
      </c>
      <c r="I232" s="129">
        <f>Table1[[#This Row],[SỐ LƯỢNG ]]*1000</f>
        <v>21000</v>
      </c>
      <c r="J232" s="129">
        <v>64000</v>
      </c>
      <c r="K232" s="16">
        <f>Table1[[#This Row],[SỐ LƯỢNG ]]*Table1[[#This Row],[ĐƠN GIÁ /1 KG]]</f>
        <v>1344000</v>
      </c>
      <c r="L232" s="129"/>
      <c r="M232" s="129"/>
      <c r="N232" s="129"/>
      <c r="O232" s="129"/>
      <c r="P232" s="129"/>
      <c r="Q232" s="129"/>
      <c r="R232" s="129"/>
      <c r="S232" s="129"/>
      <c r="T232" s="129"/>
      <c r="U232" s="129"/>
      <c r="V232" s="129"/>
      <c r="W232" s="129"/>
      <c r="X232" s="129"/>
      <c r="Y232" s="130"/>
      <c r="Z232" s="130"/>
      <c r="AA232" s="130"/>
      <c r="AB232" s="130"/>
      <c r="AC232" s="130"/>
      <c r="AD232" s="129"/>
      <c r="AE232" s="129"/>
      <c r="AF232" s="129"/>
      <c r="AG232" s="129"/>
      <c r="AH232" s="129"/>
      <c r="AI232" s="129"/>
      <c r="AJ232" s="129"/>
      <c r="AK232" s="129"/>
      <c r="AL232" s="129"/>
      <c r="AM232" s="129"/>
      <c r="AN232" s="129"/>
      <c r="AO232" s="132">
        <f>Table1[[#This Row],[QUY ĐỔI GRAM]]-SUM(Table1[[#This Row],[XK ĐỒNG TÂM]:[XK LSX 8]])</f>
        <v>21000</v>
      </c>
      <c r="AP232" s="133">
        <f>Table1[[#This Row],[CÒN LẠI (gram)]]*Table1[[#This Row],[ĐƠN GIÁ /1 KG]]/1000</f>
        <v>1344000</v>
      </c>
      <c r="AQ232" s="3" t="s">
        <v>275</v>
      </c>
      <c r="AR232" s="125"/>
      <c r="AS232" s="125"/>
      <c r="AT232" s="125"/>
      <c r="AU232" s="125"/>
    </row>
    <row r="233" spans="1:47" ht="35.25" customHeight="1" x14ac:dyDescent="0.35">
      <c r="A233" s="5">
        <v>230</v>
      </c>
      <c r="B233" s="124" t="s">
        <v>489</v>
      </c>
      <c r="C233" s="125"/>
      <c r="D233" s="134" t="s">
        <v>57</v>
      </c>
      <c r="E233" s="65" t="s">
        <v>17</v>
      </c>
      <c r="F233" s="126">
        <v>25</v>
      </c>
      <c r="G233" s="127">
        <v>46046</v>
      </c>
      <c r="H233" s="128">
        <v>560</v>
      </c>
      <c r="I233" s="129">
        <f>Table1[[#This Row],[SỐ LƯỢNG ]]*1000</f>
        <v>25000</v>
      </c>
      <c r="J233" s="129">
        <v>72500</v>
      </c>
      <c r="K233" s="16">
        <f>Table1[[#This Row],[SỐ LƯỢNG ]]*Table1[[#This Row],[ĐƠN GIÁ /1 KG]]</f>
        <v>1812500</v>
      </c>
      <c r="L233" s="129"/>
      <c r="M233" s="129"/>
      <c r="N233" s="129"/>
      <c r="O233" s="129"/>
      <c r="P233" s="129"/>
      <c r="Q233" s="129"/>
      <c r="R233" s="129"/>
      <c r="S233" s="129"/>
      <c r="T233" s="129"/>
      <c r="U233" s="129"/>
      <c r="V233" s="129"/>
      <c r="W233" s="129"/>
      <c r="X233" s="129"/>
      <c r="Y233" s="130"/>
      <c r="Z233" s="130"/>
      <c r="AA233" s="130"/>
      <c r="AB233" s="130"/>
      <c r="AC233" s="130"/>
      <c r="AD233" s="129"/>
      <c r="AE233" s="129"/>
      <c r="AF233" s="129"/>
      <c r="AG233" s="129"/>
      <c r="AH233" s="129"/>
      <c r="AI233" s="129"/>
      <c r="AJ233" s="129"/>
      <c r="AK233" s="129"/>
      <c r="AL233" s="129"/>
      <c r="AM233" s="129"/>
      <c r="AN233" s="129"/>
      <c r="AO233" s="132">
        <f>Table1[[#This Row],[QUY ĐỔI GRAM]]-SUM(Table1[[#This Row],[XK ĐỒNG TÂM]:[XK LSX 8]])</f>
        <v>25000</v>
      </c>
      <c r="AP233" s="133">
        <f>Table1[[#This Row],[CÒN LẠI (gram)]]*Table1[[#This Row],[ĐƠN GIÁ /1 KG]]/1000</f>
        <v>1812500</v>
      </c>
      <c r="AQ233" s="3" t="s">
        <v>275</v>
      </c>
      <c r="AR233" s="125"/>
      <c r="AS233" s="125"/>
      <c r="AT233" s="125"/>
      <c r="AU233" s="125"/>
    </row>
    <row r="234" spans="1:47" ht="35.25" customHeight="1" x14ac:dyDescent="0.35">
      <c r="A234" s="5">
        <v>231</v>
      </c>
      <c r="B234" s="124" t="s">
        <v>490</v>
      </c>
      <c r="C234" s="125"/>
      <c r="D234" s="135" t="s">
        <v>503</v>
      </c>
      <c r="E234" s="65" t="s">
        <v>17</v>
      </c>
      <c r="F234" s="126">
        <v>10</v>
      </c>
      <c r="G234" s="127">
        <v>46046</v>
      </c>
      <c r="H234" s="128">
        <v>560</v>
      </c>
      <c r="I234" s="129">
        <f>Table1[[#This Row],[SỐ LƯỢNG ]]*1000</f>
        <v>10000</v>
      </c>
      <c r="J234" s="129">
        <v>120000</v>
      </c>
      <c r="K234" s="16">
        <f>Table1[[#This Row],[SỐ LƯỢNG ]]*Table1[[#This Row],[ĐƠN GIÁ /1 KG]]</f>
        <v>1200000</v>
      </c>
      <c r="L234" s="129"/>
      <c r="M234" s="129"/>
      <c r="N234" s="129"/>
      <c r="O234" s="129"/>
      <c r="P234" s="129"/>
      <c r="Q234" s="129"/>
      <c r="R234" s="129"/>
      <c r="S234" s="129"/>
      <c r="T234" s="129"/>
      <c r="U234" s="129"/>
      <c r="V234" s="129"/>
      <c r="W234" s="129"/>
      <c r="X234" s="129"/>
      <c r="Y234" s="130"/>
      <c r="Z234" s="130"/>
      <c r="AA234" s="130"/>
      <c r="AB234" s="130"/>
      <c r="AC234" s="130"/>
      <c r="AD234" s="129"/>
      <c r="AE234" s="129"/>
      <c r="AF234" s="129"/>
      <c r="AG234" s="129"/>
      <c r="AH234" s="129"/>
      <c r="AI234" s="129"/>
      <c r="AJ234" s="129"/>
      <c r="AK234" s="129"/>
      <c r="AL234" s="129"/>
      <c r="AM234" s="129"/>
      <c r="AN234" s="129"/>
      <c r="AO234" s="132">
        <f>Table1[[#This Row],[QUY ĐỔI GRAM]]-SUM(Table1[[#This Row],[XK ĐỒNG TÂM]:[XK LSX 8]])</f>
        <v>10000</v>
      </c>
      <c r="AP234" s="133">
        <f>Table1[[#This Row],[CÒN LẠI (gram)]]*Table1[[#This Row],[ĐƠN GIÁ /1 KG]]/1000</f>
        <v>1200000</v>
      </c>
      <c r="AQ234" s="3" t="s">
        <v>275</v>
      </c>
      <c r="AR234" s="125"/>
      <c r="AS234" s="125"/>
      <c r="AT234" s="125"/>
      <c r="AU234" s="125"/>
    </row>
    <row r="235" spans="1:47" ht="35.25" customHeight="1" x14ac:dyDescent="0.35">
      <c r="A235" s="5">
        <v>232</v>
      </c>
      <c r="B235" s="124" t="s">
        <v>491</v>
      </c>
      <c r="C235" s="125"/>
      <c r="D235" s="134" t="s">
        <v>504</v>
      </c>
      <c r="E235" s="65" t="s">
        <v>17</v>
      </c>
      <c r="F235" s="126">
        <v>6</v>
      </c>
      <c r="G235" s="127">
        <v>46046</v>
      </c>
      <c r="H235" s="128">
        <v>560</v>
      </c>
      <c r="I235" s="129">
        <f>Table1[[#This Row],[SỐ LƯỢNG ]]*1000</f>
        <v>6000</v>
      </c>
      <c r="J235" s="129">
        <v>36111</v>
      </c>
      <c r="K235" s="16">
        <f>Table1[[#This Row],[SỐ LƯỢNG ]]*Table1[[#This Row],[ĐƠN GIÁ /1 KG]]</f>
        <v>216666</v>
      </c>
      <c r="L235" s="129"/>
      <c r="M235" s="129"/>
      <c r="N235" s="129"/>
      <c r="O235" s="129"/>
      <c r="P235" s="129"/>
      <c r="Q235" s="129"/>
      <c r="R235" s="129"/>
      <c r="S235" s="129"/>
      <c r="T235" s="129"/>
      <c r="U235" s="129"/>
      <c r="V235" s="129"/>
      <c r="W235" s="129"/>
      <c r="X235" s="129"/>
      <c r="Y235" s="130"/>
      <c r="Z235" s="130"/>
      <c r="AA235" s="130"/>
      <c r="AB235" s="130"/>
      <c r="AC235" s="130"/>
      <c r="AD235" s="129"/>
      <c r="AE235" s="129"/>
      <c r="AF235" s="129"/>
      <c r="AG235" s="129"/>
      <c r="AH235" s="129"/>
      <c r="AI235" s="129"/>
      <c r="AJ235" s="129"/>
      <c r="AK235" s="129"/>
      <c r="AL235" s="129"/>
      <c r="AM235" s="129"/>
      <c r="AN235" s="129"/>
      <c r="AO235" s="132">
        <f>Table1[[#This Row],[QUY ĐỔI GRAM]]-SUM(Table1[[#This Row],[XK ĐỒNG TÂM]:[XK LSX 8]])</f>
        <v>6000</v>
      </c>
      <c r="AP235" s="133">
        <f>Table1[[#This Row],[CÒN LẠI (gram)]]*Table1[[#This Row],[ĐƠN GIÁ /1 KG]]/1000</f>
        <v>216666</v>
      </c>
      <c r="AQ235" s="3" t="s">
        <v>275</v>
      </c>
      <c r="AR235" s="125"/>
      <c r="AS235" s="125"/>
      <c r="AT235" s="125"/>
      <c r="AU235" s="125"/>
    </row>
    <row r="236" spans="1:47" ht="35.25" customHeight="1" x14ac:dyDescent="0.35">
      <c r="A236" s="5">
        <v>233</v>
      </c>
      <c r="B236" s="124" t="s">
        <v>492</v>
      </c>
      <c r="C236" s="125"/>
      <c r="D236" s="135" t="s">
        <v>277</v>
      </c>
      <c r="E236" s="15" t="s">
        <v>17</v>
      </c>
      <c r="F236" s="126">
        <v>30</v>
      </c>
      <c r="G236" s="127">
        <v>46046</v>
      </c>
      <c r="H236" s="128">
        <v>560</v>
      </c>
      <c r="I236" s="129">
        <f>Table1[[#This Row],[SỐ LƯỢNG ]]*1000</f>
        <v>30000</v>
      </c>
      <c r="J236" s="129">
        <v>177000</v>
      </c>
      <c r="K236" s="16">
        <f>Table1[[#This Row],[SỐ LƯỢNG ]]*Table1[[#This Row],[ĐƠN GIÁ /1 KG]]</f>
        <v>5310000</v>
      </c>
      <c r="L236" s="129"/>
      <c r="M236" s="129"/>
      <c r="N236" s="129"/>
      <c r="O236" s="129"/>
      <c r="P236" s="129"/>
      <c r="Q236" s="129"/>
      <c r="R236" s="129"/>
      <c r="S236" s="129"/>
      <c r="T236" s="129"/>
      <c r="U236" s="129"/>
      <c r="V236" s="129"/>
      <c r="W236" s="129"/>
      <c r="X236" s="129"/>
      <c r="Y236" s="130"/>
      <c r="Z236" s="130"/>
      <c r="AA236" s="130"/>
      <c r="AB236" s="130"/>
      <c r="AC236" s="130"/>
      <c r="AD236" s="129"/>
      <c r="AE236" s="129"/>
      <c r="AF236" s="129"/>
      <c r="AG236" s="129"/>
      <c r="AH236" s="129">
        <v>175</v>
      </c>
      <c r="AI236" s="129"/>
      <c r="AJ236" s="129"/>
      <c r="AK236" s="129"/>
      <c r="AL236" s="129"/>
      <c r="AM236" s="129"/>
      <c r="AN236" s="129"/>
      <c r="AO236" s="132">
        <f>Table1[[#This Row],[QUY ĐỔI GRAM]]-SUM(Table1[[#This Row],[XK ĐỒNG TÂM]:[XK LSX 8]])</f>
        <v>29825</v>
      </c>
      <c r="AP236" s="133">
        <f>Table1[[#This Row],[CÒN LẠI (gram)]]*Table1[[#This Row],[ĐƠN GIÁ /1 KG]]/1000</f>
        <v>5279025</v>
      </c>
      <c r="AQ236" s="3" t="s">
        <v>275</v>
      </c>
      <c r="AR236" s="125"/>
      <c r="AS236" s="125"/>
      <c r="AT236" s="125"/>
      <c r="AU236" s="125"/>
    </row>
    <row r="237" spans="1:47" ht="35.25" customHeight="1" x14ac:dyDescent="0.35">
      <c r="A237" s="5">
        <v>234</v>
      </c>
      <c r="B237" s="124" t="s">
        <v>494</v>
      </c>
      <c r="C237" s="125"/>
      <c r="D237" s="158" t="s">
        <v>333</v>
      </c>
      <c r="E237" s="65" t="s">
        <v>17</v>
      </c>
      <c r="F237" s="126">
        <v>14</v>
      </c>
      <c r="G237" s="127">
        <v>46046</v>
      </c>
      <c r="H237" s="128">
        <v>560</v>
      </c>
      <c r="I237" s="129">
        <f>Table1[[#This Row],[SỐ LƯỢNG ]]*1000</f>
        <v>14000</v>
      </c>
      <c r="J237" s="129">
        <v>205556</v>
      </c>
      <c r="K237" s="16">
        <f>Table1[[#This Row],[SỐ LƯỢNG ]]*Table1[[#This Row],[ĐƠN GIÁ /1 KG]]</f>
        <v>2877784</v>
      </c>
      <c r="L237" s="129"/>
      <c r="M237" s="129"/>
      <c r="N237" s="129"/>
      <c r="O237" s="129"/>
      <c r="P237" s="129"/>
      <c r="Q237" s="129"/>
      <c r="R237" s="129"/>
      <c r="S237" s="129"/>
      <c r="T237" s="129"/>
      <c r="U237" s="129"/>
      <c r="V237" s="129"/>
      <c r="W237" s="129"/>
      <c r="X237" s="129"/>
      <c r="Y237" s="130"/>
      <c r="Z237" s="130"/>
      <c r="AA237" s="130"/>
      <c r="AB237" s="130"/>
      <c r="AC237" s="130"/>
      <c r="AD237" s="129"/>
      <c r="AE237" s="129"/>
      <c r="AF237" s="129"/>
      <c r="AG237" s="129"/>
      <c r="AH237" s="129"/>
      <c r="AI237" s="129"/>
      <c r="AJ237" s="129"/>
      <c r="AK237" s="129"/>
      <c r="AL237" s="129"/>
      <c r="AM237" s="129"/>
      <c r="AN237" s="129"/>
      <c r="AO237" s="132">
        <f>Table1[[#This Row],[QUY ĐỔI GRAM]]-SUM(Table1[[#This Row],[XK ĐỒNG TÂM]:[XK LSX 8]])</f>
        <v>14000</v>
      </c>
      <c r="AP237" s="133">
        <f>Table1[[#This Row],[CÒN LẠI (gram)]]*Table1[[#This Row],[ĐƠN GIÁ /1 KG]]/1000</f>
        <v>2877784</v>
      </c>
      <c r="AQ237" s="3" t="s">
        <v>275</v>
      </c>
      <c r="AR237" s="125"/>
      <c r="AS237" s="125"/>
      <c r="AT237" s="125"/>
      <c r="AU237" s="125"/>
    </row>
    <row r="238" spans="1:47" ht="35.25" customHeight="1" x14ac:dyDescent="0.35">
      <c r="A238" s="5">
        <v>235</v>
      </c>
      <c r="B238" s="124" t="s">
        <v>493</v>
      </c>
      <c r="C238" s="125"/>
      <c r="D238" s="135" t="s">
        <v>297</v>
      </c>
      <c r="E238" s="65" t="s">
        <v>17</v>
      </c>
      <c r="F238" s="126">
        <v>15</v>
      </c>
      <c r="G238" s="127">
        <v>46046</v>
      </c>
      <c r="H238" s="128">
        <v>560</v>
      </c>
      <c r="I238" s="129">
        <f>Table1[[#This Row],[SỐ LƯỢNG ]]*1000</f>
        <v>15000</v>
      </c>
      <c r="J238" s="129">
        <v>185185</v>
      </c>
      <c r="K238" s="16">
        <f>Table1[[#This Row],[SỐ LƯỢNG ]]*Table1[[#This Row],[ĐƠN GIÁ /1 KG]]</f>
        <v>2777775</v>
      </c>
      <c r="L238" s="129"/>
      <c r="M238" s="129"/>
      <c r="N238" s="129"/>
      <c r="O238" s="129"/>
      <c r="P238" s="129"/>
      <c r="Q238" s="129"/>
      <c r="R238" s="129"/>
      <c r="S238" s="129"/>
      <c r="T238" s="129"/>
      <c r="U238" s="129"/>
      <c r="V238" s="129"/>
      <c r="W238" s="129"/>
      <c r="X238" s="129"/>
      <c r="Y238" s="130"/>
      <c r="Z238" s="130"/>
      <c r="AA238" s="130"/>
      <c r="AB238" s="130"/>
      <c r="AC238" s="130"/>
      <c r="AD238" s="129"/>
      <c r="AE238" s="129"/>
      <c r="AF238" s="129"/>
      <c r="AG238" s="129"/>
      <c r="AH238" s="129"/>
      <c r="AI238" s="129"/>
      <c r="AJ238" s="129"/>
      <c r="AK238" s="129"/>
      <c r="AL238" s="129"/>
      <c r="AM238" s="129"/>
      <c r="AN238" s="129"/>
      <c r="AO238" s="132">
        <f>Table1[[#This Row],[QUY ĐỔI GRAM]]-SUM(Table1[[#This Row],[XK ĐỒNG TÂM]:[XK LSX 8]])</f>
        <v>15000</v>
      </c>
      <c r="AP238" s="133">
        <f>Table1[[#This Row],[CÒN LẠI (gram)]]*Table1[[#This Row],[ĐƠN GIÁ /1 KG]]/1000</f>
        <v>2777775</v>
      </c>
      <c r="AQ238" s="3" t="s">
        <v>275</v>
      </c>
      <c r="AR238" s="125"/>
      <c r="AS238" s="125"/>
      <c r="AT238" s="125"/>
      <c r="AU238" s="125"/>
    </row>
    <row r="239" spans="1:47" ht="35.25" customHeight="1" x14ac:dyDescent="0.35">
      <c r="A239" s="5">
        <v>236</v>
      </c>
      <c r="B239" s="124" t="s">
        <v>495</v>
      </c>
      <c r="C239" s="125"/>
      <c r="D239" s="134" t="s">
        <v>505</v>
      </c>
      <c r="E239" s="65" t="s">
        <v>17</v>
      </c>
      <c r="F239" s="126">
        <v>8</v>
      </c>
      <c r="G239" s="127">
        <v>46046</v>
      </c>
      <c r="H239" s="128">
        <v>560</v>
      </c>
      <c r="I239" s="129">
        <f>Table1[[#This Row],[SỐ LƯỢNG ]]*1000</f>
        <v>8000</v>
      </c>
      <c r="J239" s="129">
        <v>68500</v>
      </c>
      <c r="K239" s="16">
        <f>Table1[[#This Row],[SỐ LƯỢNG ]]*Table1[[#This Row],[ĐƠN GIÁ /1 KG]]</f>
        <v>548000</v>
      </c>
      <c r="L239" s="129"/>
      <c r="M239" s="129"/>
      <c r="N239" s="129"/>
      <c r="O239" s="129"/>
      <c r="P239" s="129"/>
      <c r="Q239" s="129"/>
      <c r="R239" s="129"/>
      <c r="S239" s="129"/>
      <c r="T239" s="129"/>
      <c r="U239" s="129"/>
      <c r="V239" s="129"/>
      <c r="W239" s="129"/>
      <c r="X239" s="129"/>
      <c r="Y239" s="130"/>
      <c r="Z239" s="130"/>
      <c r="AA239" s="130"/>
      <c r="AB239" s="130"/>
      <c r="AC239" s="130"/>
      <c r="AD239" s="129"/>
      <c r="AE239" s="129"/>
      <c r="AF239" s="129"/>
      <c r="AG239" s="129"/>
      <c r="AH239" s="129"/>
      <c r="AI239" s="129"/>
      <c r="AJ239" s="129"/>
      <c r="AK239" s="129"/>
      <c r="AL239" s="129"/>
      <c r="AM239" s="129"/>
      <c r="AN239" s="129"/>
      <c r="AO239" s="132">
        <f>Table1[[#This Row],[QUY ĐỔI GRAM]]-SUM(Table1[[#This Row],[XK ĐỒNG TÂM]:[XK LSX 8]])</f>
        <v>8000</v>
      </c>
      <c r="AP239" s="133">
        <f>Table1[[#This Row],[CÒN LẠI (gram)]]*Table1[[#This Row],[ĐƠN GIÁ /1 KG]]/1000</f>
        <v>548000</v>
      </c>
      <c r="AQ239" s="3" t="s">
        <v>275</v>
      </c>
      <c r="AR239" s="125"/>
      <c r="AS239" s="125"/>
      <c r="AT239" s="125"/>
      <c r="AU239" s="125"/>
    </row>
    <row r="240" spans="1:47" ht="35.25" customHeight="1" x14ac:dyDescent="0.35">
      <c r="A240" s="5">
        <v>237</v>
      </c>
      <c r="B240" s="124" t="s">
        <v>497</v>
      </c>
      <c r="C240" s="125"/>
      <c r="D240" s="135" t="s">
        <v>506</v>
      </c>
      <c r="E240" s="65" t="s">
        <v>17</v>
      </c>
      <c r="F240" s="126">
        <v>10</v>
      </c>
      <c r="G240" s="127">
        <v>46046</v>
      </c>
      <c r="H240" s="128">
        <v>560</v>
      </c>
      <c r="I240" s="129">
        <f>Table1[[#This Row],[SỐ LƯỢNG ]]*1000</f>
        <v>10000</v>
      </c>
      <c r="J240" s="129">
        <v>581019</v>
      </c>
      <c r="K240" s="16">
        <f>Table1[[#This Row],[SỐ LƯỢNG ]]*Table1[[#This Row],[ĐƠN GIÁ /1 KG]]</f>
        <v>5810190</v>
      </c>
      <c r="L240" s="129"/>
      <c r="M240" s="129"/>
      <c r="N240" s="129"/>
      <c r="O240" s="129"/>
      <c r="P240" s="129"/>
      <c r="Q240" s="129"/>
      <c r="R240" s="129"/>
      <c r="S240" s="129"/>
      <c r="T240" s="129"/>
      <c r="U240" s="129"/>
      <c r="V240" s="129"/>
      <c r="W240" s="129"/>
      <c r="X240" s="129"/>
      <c r="Y240" s="130"/>
      <c r="Z240" s="130"/>
      <c r="AA240" s="130"/>
      <c r="AB240" s="130"/>
      <c r="AC240" s="130"/>
      <c r="AD240" s="129"/>
      <c r="AE240" s="129"/>
      <c r="AF240" s="129"/>
      <c r="AG240" s="129"/>
      <c r="AH240" s="129"/>
      <c r="AI240" s="129"/>
      <c r="AJ240" s="129"/>
      <c r="AK240" s="129"/>
      <c r="AL240" s="129"/>
      <c r="AM240" s="129"/>
      <c r="AN240" s="129"/>
      <c r="AO240" s="132">
        <f>Table1[[#This Row],[QUY ĐỔI GRAM]]-SUM(Table1[[#This Row],[XK ĐỒNG TÂM]:[XK LSX 8]])</f>
        <v>10000</v>
      </c>
      <c r="AP240" s="133">
        <f>Table1[[#This Row],[CÒN LẠI (gram)]]*Table1[[#This Row],[ĐƠN GIÁ /1 KG]]/1000</f>
        <v>5810190</v>
      </c>
      <c r="AQ240" s="3" t="s">
        <v>275</v>
      </c>
      <c r="AR240" s="125"/>
      <c r="AS240" s="125"/>
      <c r="AT240" s="125"/>
      <c r="AU240" s="125"/>
    </row>
    <row r="241" spans="1:47" ht="35.25" customHeight="1" x14ac:dyDescent="0.35">
      <c r="A241" s="5">
        <v>238</v>
      </c>
      <c r="B241" s="124" t="s">
        <v>496</v>
      </c>
      <c r="C241" s="125"/>
      <c r="D241" s="134" t="s">
        <v>507</v>
      </c>
      <c r="E241" s="65" t="s">
        <v>17</v>
      </c>
      <c r="F241" s="126">
        <v>10</v>
      </c>
      <c r="G241" s="127">
        <v>46046</v>
      </c>
      <c r="H241" s="128">
        <v>560</v>
      </c>
      <c r="I241" s="129">
        <f>Table1[[#This Row],[SỐ LƯỢNG ]]*1000</f>
        <v>10000</v>
      </c>
      <c r="J241" s="129">
        <v>406481</v>
      </c>
      <c r="K241" s="16">
        <f>Table1[[#This Row],[SỐ LƯỢNG ]]*Table1[[#This Row],[ĐƠN GIÁ /1 KG]]</f>
        <v>4064810</v>
      </c>
      <c r="L241" s="129"/>
      <c r="M241" s="129"/>
      <c r="N241" s="129"/>
      <c r="O241" s="129"/>
      <c r="P241" s="129"/>
      <c r="Q241" s="129"/>
      <c r="R241" s="129"/>
      <c r="S241" s="129"/>
      <c r="T241" s="129"/>
      <c r="U241" s="129"/>
      <c r="V241" s="129"/>
      <c r="W241" s="129"/>
      <c r="X241" s="129"/>
      <c r="Y241" s="130"/>
      <c r="Z241" s="130"/>
      <c r="AA241" s="130"/>
      <c r="AB241" s="130"/>
      <c r="AC241" s="130"/>
      <c r="AD241" s="129"/>
      <c r="AE241" s="129"/>
      <c r="AF241" s="129"/>
      <c r="AG241" s="129"/>
      <c r="AH241" s="129"/>
      <c r="AI241" s="129"/>
      <c r="AJ241" s="129"/>
      <c r="AK241" s="129"/>
      <c r="AL241" s="129"/>
      <c r="AM241" s="129"/>
      <c r="AN241" s="129"/>
      <c r="AO241" s="132">
        <f>Table1[[#This Row],[QUY ĐỔI GRAM]]-SUM(Table1[[#This Row],[XK ĐỒNG TÂM]:[XK LSX 8]])</f>
        <v>10000</v>
      </c>
      <c r="AP241" s="133">
        <f>Table1[[#This Row],[CÒN LẠI (gram)]]*Table1[[#This Row],[ĐƠN GIÁ /1 KG]]/1000</f>
        <v>4064810</v>
      </c>
      <c r="AQ241" s="3" t="s">
        <v>275</v>
      </c>
      <c r="AR241" s="125"/>
      <c r="AS241" s="125"/>
      <c r="AT241" s="125"/>
      <c r="AU241" s="125"/>
    </row>
    <row r="242" spans="1:47" ht="35.25" customHeight="1" x14ac:dyDescent="0.35">
      <c r="A242" s="5">
        <v>239</v>
      </c>
      <c r="B242" s="124" t="s">
        <v>498</v>
      </c>
      <c r="C242" s="125"/>
      <c r="D242" s="135" t="s">
        <v>500</v>
      </c>
      <c r="E242" s="15" t="s">
        <v>140</v>
      </c>
      <c r="F242" s="126">
        <v>0.1</v>
      </c>
      <c r="G242" s="127">
        <v>46046</v>
      </c>
      <c r="H242" s="128">
        <v>301</v>
      </c>
      <c r="I242" s="129">
        <f>Table1[[#This Row],[SỐ LƯỢNG ]]*1000</f>
        <v>100</v>
      </c>
      <c r="J242" s="129">
        <v>6100000</v>
      </c>
      <c r="K242" s="16">
        <f>Table1[[#This Row],[SỐ LƯỢNG ]]*Table1[[#This Row],[ĐƠN GIÁ /1 KG]]</f>
        <v>610000</v>
      </c>
      <c r="L242" s="129"/>
      <c r="M242" s="129"/>
      <c r="N242" s="129"/>
      <c r="O242" s="129"/>
      <c r="P242" s="129"/>
      <c r="Q242" s="129"/>
      <c r="R242" s="129"/>
      <c r="S242" s="129"/>
      <c r="T242" s="129"/>
      <c r="U242" s="129"/>
      <c r="V242" s="129"/>
      <c r="W242" s="129"/>
      <c r="X242" s="129"/>
      <c r="Y242" s="130"/>
      <c r="Z242" s="130"/>
      <c r="AA242" s="130"/>
      <c r="AB242" s="130"/>
      <c r="AC242" s="130"/>
      <c r="AD242" s="129"/>
      <c r="AE242" s="129"/>
      <c r="AF242" s="150">
        <v>46.76</v>
      </c>
      <c r="AG242" s="150">
        <v>47.38</v>
      </c>
      <c r="AH242" s="150"/>
      <c r="AI242" s="150"/>
      <c r="AJ242" s="150"/>
      <c r="AK242" s="150"/>
      <c r="AL242" s="150"/>
      <c r="AM242" s="150"/>
      <c r="AN242" s="129"/>
      <c r="AO242" s="151">
        <f>Table1[[#This Row],[QUY ĐỔI GRAM]]-SUM(Table1[[#This Row],[XK ĐỒNG TÂM]:[XK LSX 8]])</f>
        <v>5.8599999999999994</v>
      </c>
      <c r="AP242" s="133">
        <f>Table1[[#This Row],[CÒN LẠI (gram)]]*Table1[[#This Row],[ĐƠN GIÁ /1 KG]]/1000</f>
        <v>35746</v>
      </c>
      <c r="AQ242" s="88" t="s">
        <v>349</v>
      </c>
      <c r="AR242" s="125"/>
      <c r="AS242" s="125"/>
      <c r="AT242" s="125"/>
      <c r="AU242" s="125"/>
    </row>
    <row r="243" spans="1:47" ht="26.25" customHeight="1" x14ac:dyDescent="0.35">
      <c r="A243" s="5">
        <v>240</v>
      </c>
      <c r="B243" s="124" t="s">
        <v>499</v>
      </c>
      <c r="C243" s="125"/>
      <c r="D243" s="134" t="s">
        <v>501</v>
      </c>
      <c r="E243" s="15" t="s">
        <v>17</v>
      </c>
      <c r="F243" s="126">
        <v>0.1</v>
      </c>
      <c r="G243" s="127">
        <v>46046</v>
      </c>
      <c r="H243" s="128">
        <v>301</v>
      </c>
      <c r="I243" s="129">
        <f>Table1[[#This Row],[SỐ LƯỢNG ]]*1000</f>
        <v>100</v>
      </c>
      <c r="J243" s="129">
        <v>2420000</v>
      </c>
      <c r="K243" s="16">
        <f>Table1[[#This Row],[SỐ LƯỢNG ]]*Table1[[#This Row],[ĐƠN GIÁ /1 KG]]</f>
        <v>242000</v>
      </c>
      <c r="L243" s="129"/>
      <c r="M243" s="129"/>
      <c r="N243" s="129"/>
      <c r="O243" s="129"/>
      <c r="P243" s="129"/>
      <c r="Q243" s="129"/>
      <c r="R243" s="129"/>
      <c r="S243" s="129"/>
      <c r="T243" s="129"/>
      <c r="U243" s="129"/>
      <c r="V243" s="129"/>
      <c r="W243" s="129"/>
      <c r="X243" s="129"/>
      <c r="Y243" s="130"/>
      <c r="Z243" s="130"/>
      <c r="AA243" s="130"/>
      <c r="AB243" s="130"/>
      <c r="AC243" s="130"/>
      <c r="AD243" s="129"/>
      <c r="AE243" s="129"/>
      <c r="AF243" s="129">
        <v>49</v>
      </c>
      <c r="AG243" s="129">
        <v>49</v>
      </c>
      <c r="AH243" s="129"/>
      <c r="AI243" s="129"/>
      <c r="AJ243" s="129"/>
      <c r="AK243" s="129"/>
      <c r="AL243" s="129"/>
      <c r="AM243" s="129"/>
      <c r="AN243" s="129"/>
      <c r="AO243" s="132">
        <f>Table1[[#This Row],[QUY ĐỔI GRAM]]-SUM(Table1[[#This Row],[XK ĐỒNG TÂM]:[XK LSX 8]])</f>
        <v>2</v>
      </c>
      <c r="AP243" s="133">
        <f>Table1[[#This Row],[CÒN LẠI (gram)]]*Table1[[#This Row],[ĐƠN GIÁ /1 KG]]/1000</f>
        <v>4840</v>
      </c>
      <c r="AQ243" s="88" t="s">
        <v>349</v>
      </c>
      <c r="AR243" s="125"/>
      <c r="AS243" s="125"/>
      <c r="AT243" s="125"/>
      <c r="AU243" s="125"/>
    </row>
    <row r="244" spans="1:47" ht="26.25" customHeight="1" x14ac:dyDescent="0.35">
      <c r="A244" s="5">
        <v>241</v>
      </c>
      <c r="B244" s="20" t="s">
        <v>502</v>
      </c>
      <c r="C244" s="20"/>
      <c r="D244" s="42"/>
      <c r="E244" s="15" t="s">
        <v>24</v>
      </c>
      <c r="F244" s="126">
        <v>4068</v>
      </c>
      <c r="G244" s="127">
        <v>46048</v>
      </c>
      <c r="H244" s="128">
        <v>43</v>
      </c>
      <c r="I244" s="129"/>
      <c r="J244" s="129">
        <v>3160</v>
      </c>
      <c r="K244" s="16">
        <f>Table1[[#This Row],[SỐ LƯỢNG ]]*Table1[[#This Row],[ĐƠN GIÁ /1 KG]]</f>
        <v>12854880</v>
      </c>
      <c r="L244" s="129"/>
      <c r="M244" s="129"/>
      <c r="N244" s="129"/>
      <c r="O244" s="129"/>
      <c r="P244" s="129"/>
      <c r="Q244" s="129"/>
      <c r="R244" s="129"/>
      <c r="S244" s="129"/>
      <c r="T244" s="129"/>
      <c r="U244" s="129"/>
      <c r="V244" s="129"/>
      <c r="W244" s="129"/>
      <c r="X244" s="129"/>
      <c r="Y244" s="130"/>
      <c r="Z244" s="130"/>
      <c r="AA244" s="130"/>
      <c r="AB244" s="130"/>
      <c r="AC244" s="130"/>
      <c r="AD244" s="131"/>
      <c r="AE244" s="131"/>
      <c r="AF244" s="131"/>
      <c r="AG244" s="131"/>
      <c r="AH244" s="131"/>
      <c r="AI244" s="131"/>
      <c r="AJ244" s="131"/>
      <c r="AK244" s="131"/>
      <c r="AL244" s="131"/>
      <c r="AM244" s="131"/>
      <c r="AN244" s="129"/>
      <c r="AO244" s="51">
        <f>Table1[[#This Row],[SỐ LƯỢNG ]]-SUM(Table1[[#This Row],[XK ĐỒNG TÂM]:[XK LSX 8]])</f>
        <v>4068</v>
      </c>
      <c r="AP244" s="51">
        <f>Table1[[#This Row],[CÒN LẠI (gram)]]*Table1[[#This Row],[ĐƠN GIÁ /1 KG]]</f>
        <v>12854880</v>
      </c>
      <c r="AQ244" s="88" t="s">
        <v>88</v>
      </c>
      <c r="AR244" s="125"/>
      <c r="AS244" s="125"/>
      <c r="AT244" s="125"/>
      <c r="AU244" s="125"/>
    </row>
    <row r="245" spans="1:47" ht="29.25" customHeight="1" x14ac:dyDescent="0.35">
      <c r="A245" s="5">
        <v>242</v>
      </c>
      <c r="B245" s="53" t="s">
        <v>508</v>
      </c>
      <c r="C245" s="125"/>
      <c r="D245" s="136" t="s">
        <v>509</v>
      </c>
      <c r="E245" s="15" t="s">
        <v>17</v>
      </c>
      <c r="F245" s="126">
        <v>0.1</v>
      </c>
      <c r="G245" s="127">
        <v>46048</v>
      </c>
      <c r="H245" s="128">
        <v>487</v>
      </c>
      <c r="I245" s="129">
        <f>Table1[[#This Row],[SỐ LƯỢNG ]]*1000</f>
        <v>100</v>
      </c>
      <c r="J245" s="129">
        <v>2000000</v>
      </c>
      <c r="K245" s="16">
        <f>Table1[[#This Row],[SỐ LƯỢNG ]]*Table1[[#This Row],[ĐƠN GIÁ /1 KG]]</f>
        <v>200000</v>
      </c>
      <c r="L245" s="129"/>
      <c r="M245" s="129"/>
      <c r="N245" s="129"/>
      <c r="O245" s="129"/>
      <c r="P245" s="129"/>
      <c r="Q245" s="129"/>
      <c r="R245" s="129"/>
      <c r="S245" s="129"/>
      <c r="T245" s="129"/>
      <c r="U245" s="129"/>
      <c r="V245" s="129"/>
      <c r="W245" s="129"/>
      <c r="X245" s="129"/>
      <c r="Y245" s="130"/>
      <c r="Z245" s="130"/>
      <c r="AA245" s="130"/>
      <c r="AB245" s="130"/>
      <c r="AC245" s="130"/>
      <c r="AD245" s="129"/>
      <c r="AE245" s="129"/>
      <c r="AF245" s="129">
        <v>49</v>
      </c>
      <c r="AG245" s="129">
        <v>49</v>
      </c>
      <c r="AH245" s="129"/>
      <c r="AI245" s="129"/>
      <c r="AJ245" s="129"/>
      <c r="AK245" s="129"/>
      <c r="AL245" s="129"/>
      <c r="AM245" s="129"/>
      <c r="AN245" s="129"/>
      <c r="AO245" s="132">
        <f>Table1[[#This Row],[QUY ĐỔI GRAM]]-SUM(Table1[[#This Row],[XK ĐỒNG TÂM]:[XK LSX 8]])</f>
        <v>2</v>
      </c>
      <c r="AP245" s="133">
        <f>Table1[[#This Row],[CÒN LẠI (gram)]]*Table1[[#This Row],[ĐƠN GIÁ /1 KG]]/1000</f>
        <v>4000</v>
      </c>
      <c r="AQ245" s="88" t="s">
        <v>20</v>
      </c>
      <c r="AR245" s="125"/>
      <c r="AS245" s="125"/>
      <c r="AT245" s="125"/>
      <c r="AU245" s="125"/>
    </row>
    <row r="246" spans="1:47" ht="29.25" customHeight="1" x14ac:dyDescent="0.35">
      <c r="A246" s="5">
        <v>243</v>
      </c>
      <c r="B246" s="20" t="s">
        <v>510</v>
      </c>
      <c r="C246" s="20"/>
      <c r="D246" s="42"/>
      <c r="E246" s="15" t="s">
        <v>131</v>
      </c>
      <c r="F246" s="126">
        <v>5000</v>
      </c>
      <c r="G246" s="127">
        <v>46049</v>
      </c>
      <c r="H246" s="128">
        <v>45</v>
      </c>
      <c r="I246" s="129"/>
      <c r="J246" s="129">
        <v>32225</v>
      </c>
      <c r="K246" s="16">
        <f>Table1[[#This Row],[SỐ LƯỢNG ]]*Table1[[#This Row],[ĐƠN GIÁ /1 KG]]</f>
        <v>161125000</v>
      </c>
      <c r="L246" s="129"/>
      <c r="M246" s="129"/>
      <c r="N246" s="129"/>
      <c r="O246" s="129"/>
      <c r="P246" s="129"/>
      <c r="Q246" s="129"/>
      <c r="R246" s="129"/>
      <c r="S246" s="129"/>
      <c r="T246" s="129"/>
      <c r="U246" s="129"/>
      <c r="V246" s="129"/>
      <c r="W246" s="129"/>
      <c r="X246" s="129"/>
      <c r="Y246" s="130"/>
      <c r="Z246" s="130"/>
      <c r="AA246" s="130"/>
      <c r="AB246" s="130"/>
      <c r="AC246" s="130"/>
      <c r="AD246" s="129"/>
      <c r="AE246" s="129"/>
      <c r="AF246" s="129"/>
      <c r="AG246" s="129"/>
      <c r="AH246" s="129"/>
      <c r="AI246" s="129"/>
      <c r="AJ246" s="129"/>
      <c r="AK246" s="129"/>
      <c r="AL246" s="129"/>
      <c r="AM246" s="129"/>
      <c r="AN246" s="129"/>
      <c r="AO246" s="51">
        <f>Table1[[#This Row],[SỐ LƯỢNG ]]-SUM(Table1[[#This Row],[XK ĐỒNG TÂM]:[XK LSX 8]])</f>
        <v>5000</v>
      </c>
      <c r="AP246" s="51">
        <f>Table1[[#This Row],[CÒN LẠI (gram)]]*Table1[[#This Row],[ĐƠN GIÁ /1 KG]]</f>
        <v>161125000</v>
      </c>
      <c r="AQ246" s="88" t="s">
        <v>88</v>
      </c>
      <c r="AR246" s="125"/>
      <c r="AS246" s="125"/>
      <c r="AT246" s="125"/>
      <c r="AU246" s="125"/>
    </row>
    <row r="247" spans="1:47" ht="33.75" customHeight="1" x14ac:dyDescent="0.35">
      <c r="A247" s="5">
        <v>244</v>
      </c>
      <c r="B247" s="53" t="s">
        <v>511</v>
      </c>
      <c r="C247" s="53"/>
      <c r="D247" s="134" t="s">
        <v>526</v>
      </c>
      <c r="E247" s="15" t="s">
        <v>17</v>
      </c>
      <c r="F247" s="139">
        <v>1</v>
      </c>
      <c r="G247" s="140">
        <v>46050</v>
      </c>
      <c r="H247" s="141">
        <v>77</v>
      </c>
      <c r="I247" s="142">
        <f>Table1[[#This Row],[SỐ LƯỢNG ]]*1000</f>
        <v>1000</v>
      </c>
      <c r="J247" s="142">
        <v>800000</v>
      </c>
      <c r="K247" s="16">
        <f>Table1[[#This Row],[SỐ LƯỢNG ]]*Table1[[#This Row],[ĐƠN GIÁ /1 KG]]</f>
        <v>800000</v>
      </c>
      <c r="L247" s="142"/>
      <c r="M247" s="142"/>
      <c r="N247" s="142"/>
      <c r="O247" s="142"/>
      <c r="P247" s="142"/>
      <c r="Q247" s="142"/>
      <c r="R247" s="142"/>
      <c r="S247" s="142"/>
      <c r="T247" s="142"/>
      <c r="U247" s="142"/>
      <c r="V247" s="142"/>
      <c r="W247" s="142"/>
      <c r="X247" s="142"/>
      <c r="Y247" s="143"/>
      <c r="Z247" s="143"/>
      <c r="AA247" s="143"/>
      <c r="AB247" s="143"/>
      <c r="AC247" s="143"/>
      <c r="AD247" s="142"/>
      <c r="AE247" s="146">
        <v>992.74</v>
      </c>
      <c r="AF247" s="142"/>
      <c r="AG247" s="142"/>
      <c r="AH247" s="142"/>
      <c r="AI247" s="142"/>
      <c r="AJ247" s="142"/>
      <c r="AK247" s="142"/>
      <c r="AL247" s="142"/>
      <c r="AM247" s="142"/>
      <c r="AN247" s="142"/>
      <c r="AO247" s="147">
        <f>Table1[[#This Row],[QUY ĐỔI GRAM]]-SUM(Table1[[#This Row],[XK ĐỒNG TÂM]:[XK LSX 8]])</f>
        <v>7.2599999999999909</v>
      </c>
      <c r="AP247" s="145">
        <f>Table1[[#This Row],[CÒN LẠI (gram)]]*Table1[[#This Row],[ĐƠN GIÁ /1 KG]]/1000</f>
        <v>5807.9999999999927</v>
      </c>
      <c r="AQ247" s="3" t="s">
        <v>22</v>
      </c>
      <c r="AR247" s="138"/>
      <c r="AS247" s="138"/>
      <c r="AT247" s="138"/>
      <c r="AU247" s="138"/>
    </row>
    <row r="248" spans="1:47" ht="33.75" customHeight="1" x14ac:dyDescent="0.35">
      <c r="A248" s="5">
        <v>245</v>
      </c>
      <c r="B248" s="53" t="s">
        <v>512</v>
      </c>
      <c r="C248" s="138"/>
      <c r="D248" s="135" t="s">
        <v>527</v>
      </c>
      <c r="E248" s="15" t="s">
        <v>17</v>
      </c>
      <c r="F248" s="139">
        <v>0.5</v>
      </c>
      <c r="G248" s="140">
        <v>46050</v>
      </c>
      <c r="H248" s="141">
        <v>1346</v>
      </c>
      <c r="I248" s="142">
        <f>Table1[[#This Row],[SỐ LƯỢNG ]]*1000</f>
        <v>500</v>
      </c>
      <c r="J248" s="142">
        <v>8000000</v>
      </c>
      <c r="K248" s="16">
        <f>Table1[[#This Row],[SỐ LƯỢNG ]]*Table1[[#This Row],[ĐƠN GIÁ /1 KG]]</f>
        <v>4000000</v>
      </c>
      <c r="L248" s="142"/>
      <c r="M248" s="142"/>
      <c r="N248" s="142"/>
      <c r="O248" s="142"/>
      <c r="P248" s="142"/>
      <c r="Q248" s="142"/>
      <c r="R248" s="142"/>
      <c r="S248" s="142"/>
      <c r="T248" s="142"/>
      <c r="U248" s="142"/>
      <c r="V248" s="142"/>
      <c r="W248" s="142"/>
      <c r="X248" s="142"/>
      <c r="Y248" s="143"/>
      <c r="Z248" s="143"/>
      <c r="AA248" s="143"/>
      <c r="AB248" s="143"/>
      <c r="AC248" s="143"/>
      <c r="AD248" s="142"/>
      <c r="AE248" s="142"/>
      <c r="AF248" s="142"/>
      <c r="AG248" s="142"/>
      <c r="AH248" s="142"/>
      <c r="AI248" s="142"/>
      <c r="AJ248" s="142"/>
      <c r="AK248" s="142"/>
      <c r="AL248" s="142"/>
      <c r="AM248" s="142"/>
      <c r="AN248" s="142"/>
      <c r="AO248" s="144">
        <f>Table1[[#This Row],[QUY ĐỔI GRAM]]-SUM(Table1[[#This Row],[XK ĐỒNG TÂM]:[XK LSX 8]])</f>
        <v>500</v>
      </c>
      <c r="AP248" s="145">
        <f>Table1[[#This Row],[CÒN LẠI (gram)]]*Table1[[#This Row],[ĐƠN GIÁ /1 KG]]/1000</f>
        <v>4000000</v>
      </c>
      <c r="AQ248" s="3" t="s">
        <v>39</v>
      </c>
      <c r="AR248" s="138"/>
      <c r="AS248" s="138"/>
      <c r="AT248" s="138"/>
      <c r="AU248" s="138"/>
    </row>
    <row r="249" spans="1:47" ht="33.75" customHeight="1" x14ac:dyDescent="0.35">
      <c r="A249" s="5">
        <v>246</v>
      </c>
      <c r="B249" s="53" t="s">
        <v>513</v>
      </c>
      <c r="C249" s="138"/>
      <c r="D249" s="134" t="s">
        <v>528</v>
      </c>
      <c r="E249" s="15" t="s">
        <v>17</v>
      </c>
      <c r="F249" s="139">
        <v>0.5</v>
      </c>
      <c r="G249" s="140">
        <v>46050</v>
      </c>
      <c r="H249" s="141">
        <v>1346</v>
      </c>
      <c r="I249" s="142">
        <f>Table1[[#This Row],[SỐ LƯỢNG ]]*1000</f>
        <v>500</v>
      </c>
      <c r="J249" s="142">
        <v>3000000</v>
      </c>
      <c r="K249" s="16">
        <f>Table1[[#This Row],[SỐ LƯỢNG ]]*Table1[[#This Row],[ĐƠN GIÁ /1 KG]]</f>
        <v>1500000</v>
      </c>
      <c r="L249" s="142"/>
      <c r="M249" s="142"/>
      <c r="N249" s="142"/>
      <c r="O249" s="142"/>
      <c r="P249" s="142"/>
      <c r="Q249" s="142"/>
      <c r="R249" s="142"/>
      <c r="S249" s="142"/>
      <c r="T249" s="142"/>
      <c r="U249" s="142"/>
      <c r="V249" s="142"/>
      <c r="W249" s="142"/>
      <c r="X249" s="142"/>
      <c r="Y249" s="143"/>
      <c r="Z249" s="143"/>
      <c r="AA249" s="143"/>
      <c r="AB249" s="143"/>
      <c r="AC249" s="143"/>
      <c r="AD249" s="142"/>
      <c r="AE249" s="142"/>
      <c r="AF249" s="142"/>
      <c r="AG249" s="142"/>
      <c r="AH249" s="142"/>
      <c r="AI249" s="142"/>
      <c r="AJ249" s="142"/>
      <c r="AK249" s="142"/>
      <c r="AL249" s="142"/>
      <c r="AM249" s="142"/>
      <c r="AN249" s="142"/>
      <c r="AO249" s="144">
        <f>Table1[[#This Row],[QUY ĐỔI GRAM]]-SUM(Table1[[#This Row],[XK ĐỒNG TÂM]:[XK LSX 8]])</f>
        <v>500</v>
      </c>
      <c r="AP249" s="145">
        <f>Table1[[#This Row],[CÒN LẠI (gram)]]*Table1[[#This Row],[ĐƠN GIÁ /1 KG]]/1000</f>
        <v>1500000</v>
      </c>
      <c r="AQ249" s="3" t="s">
        <v>39</v>
      </c>
      <c r="AR249" s="138"/>
      <c r="AS249" s="138"/>
      <c r="AT249" s="138"/>
      <c r="AU249" s="138"/>
    </row>
    <row r="250" spans="1:47" ht="33.75" customHeight="1" x14ac:dyDescent="0.35">
      <c r="A250" s="5">
        <v>247</v>
      </c>
      <c r="B250" s="53" t="s">
        <v>514</v>
      </c>
      <c r="C250" s="138"/>
      <c r="D250" s="135" t="s">
        <v>529</v>
      </c>
      <c r="E250" s="15" t="s">
        <v>17</v>
      </c>
      <c r="F250" s="139">
        <v>0.5</v>
      </c>
      <c r="G250" s="140">
        <v>46050</v>
      </c>
      <c r="H250" s="141">
        <v>1346</v>
      </c>
      <c r="I250" s="142">
        <f>Table1[[#This Row],[SỐ LƯỢNG ]]*1000</f>
        <v>500</v>
      </c>
      <c r="J250" s="142">
        <v>2000000</v>
      </c>
      <c r="K250" s="16">
        <f>Table1[[#This Row],[SỐ LƯỢNG ]]*Table1[[#This Row],[ĐƠN GIÁ /1 KG]]</f>
        <v>1000000</v>
      </c>
      <c r="L250" s="142"/>
      <c r="M250" s="142"/>
      <c r="N250" s="142"/>
      <c r="O250" s="142"/>
      <c r="P250" s="142"/>
      <c r="Q250" s="142"/>
      <c r="R250" s="142"/>
      <c r="S250" s="142"/>
      <c r="T250" s="142"/>
      <c r="U250" s="142"/>
      <c r="V250" s="142"/>
      <c r="W250" s="142"/>
      <c r="X250" s="142"/>
      <c r="Y250" s="143"/>
      <c r="Z250" s="143"/>
      <c r="AA250" s="143"/>
      <c r="AB250" s="143"/>
      <c r="AC250" s="143"/>
      <c r="AD250" s="142"/>
      <c r="AE250" s="142"/>
      <c r="AF250" s="142"/>
      <c r="AG250" s="142"/>
      <c r="AH250" s="142"/>
      <c r="AI250" s="142"/>
      <c r="AJ250" s="142"/>
      <c r="AK250" s="142"/>
      <c r="AL250" s="142"/>
      <c r="AM250" s="142"/>
      <c r="AN250" s="142"/>
      <c r="AO250" s="144">
        <f>Table1[[#This Row],[QUY ĐỔI GRAM]]-SUM(Table1[[#This Row],[XK ĐỒNG TÂM]:[XK LSX 8]])</f>
        <v>500</v>
      </c>
      <c r="AP250" s="145">
        <f>Table1[[#This Row],[CÒN LẠI (gram)]]*Table1[[#This Row],[ĐƠN GIÁ /1 KG]]/1000</f>
        <v>1000000</v>
      </c>
      <c r="AQ250" s="3" t="s">
        <v>39</v>
      </c>
      <c r="AR250" s="138"/>
      <c r="AS250" s="138"/>
      <c r="AT250" s="138"/>
      <c r="AU250" s="138"/>
    </row>
    <row r="251" spans="1:47" ht="30" customHeight="1" x14ac:dyDescent="0.35">
      <c r="A251" s="5">
        <v>248</v>
      </c>
      <c r="B251" s="53" t="s">
        <v>37</v>
      </c>
      <c r="C251" s="20"/>
      <c r="D251" s="162" t="s">
        <v>524</v>
      </c>
      <c r="E251" s="15" t="s">
        <v>17</v>
      </c>
      <c r="F251" s="43">
        <v>2.5</v>
      </c>
      <c r="G251" s="52">
        <v>46052</v>
      </c>
      <c r="H251" s="26">
        <v>1445</v>
      </c>
      <c r="I251" s="142">
        <f>Table1[[#This Row],[SỐ LƯỢNG ]]*1000</f>
        <v>2500</v>
      </c>
      <c r="J251" s="44">
        <v>2350000</v>
      </c>
      <c r="K251" s="16">
        <f>Table1[[#This Row],[SỐ LƯỢNG ]]*Table1[[#This Row],[ĐƠN GIÁ /1 KG]]</f>
        <v>5875000</v>
      </c>
      <c r="L251" s="142"/>
      <c r="M251" s="142"/>
      <c r="N251" s="142"/>
      <c r="O251" s="142"/>
      <c r="P251" s="142"/>
      <c r="Q251" s="142"/>
      <c r="R251" s="142"/>
      <c r="S251" s="142"/>
      <c r="T251" s="142"/>
      <c r="U251" s="142"/>
      <c r="V251" s="142"/>
      <c r="W251" s="142"/>
      <c r="X251" s="142"/>
      <c r="Y251" s="143"/>
      <c r="Z251" s="143"/>
      <c r="AA251" s="143"/>
      <c r="AB251" s="143"/>
      <c r="AC251" s="143"/>
      <c r="AD251" s="142"/>
      <c r="AE251" s="142"/>
      <c r="AF251" s="142"/>
      <c r="AG251" s="142"/>
      <c r="AH251" s="142"/>
      <c r="AI251" s="142"/>
      <c r="AJ251" s="142"/>
      <c r="AK251" s="142"/>
      <c r="AL251" s="142"/>
      <c r="AM251" s="142"/>
      <c r="AN251" s="142"/>
      <c r="AO251" s="144">
        <f>Table1[[#This Row],[QUY ĐỔI GRAM]]-SUM(Table1[[#This Row],[XK ĐỒNG TÂM]:[XK LSX 8]])</f>
        <v>2500</v>
      </c>
      <c r="AP251" s="145">
        <f>Table1[[#This Row],[CÒN LẠI (gram)]]*Table1[[#This Row],[ĐƠN GIÁ /1 KG]]/1000</f>
        <v>5875000</v>
      </c>
      <c r="AQ251" s="3" t="s">
        <v>39</v>
      </c>
      <c r="AR251" s="138"/>
      <c r="AS251" s="138"/>
      <c r="AT251" s="138"/>
      <c r="AU251" s="138"/>
    </row>
    <row r="252" spans="1:47" ht="30" customHeight="1" x14ac:dyDescent="0.35">
      <c r="A252" s="5">
        <v>249</v>
      </c>
      <c r="B252" s="53" t="s">
        <v>523</v>
      </c>
      <c r="C252" s="138"/>
      <c r="D252" s="135" t="s">
        <v>525</v>
      </c>
      <c r="E252" s="15" t="s">
        <v>17</v>
      </c>
      <c r="F252" s="139">
        <v>1</v>
      </c>
      <c r="G252" s="140">
        <v>46387</v>
      </c>
      <c r="H252" s="141">
        <v>751</v>
      </c>
      <c r="I252" s="142">
        <f>Table1[[#This Row],[SỐ LƯỢNG ]]*1000</f>
        <v>1000</v>
      </c>
      <c r="J252" s="142">
        <v>2407407</v>
      </c>
      <c r="K252" s="16">
        <f>Table1[[#This Row],[SỐ LƯỢNG ]]*Table1[[#This Row],[ĐƠN GIÁ /1 KG]]</f>
        <v>2407407</v>
      </c>
      <c r="L252" s="142"/>
      <c r="M252" s="142"/>
      <c r="N252" s="142"/>
      <c r="O252" s="142"/>
      <c r="P252" s="142"/>
      <c r="Q252" s="142"/>
      <c r="R252" s="142"/>
      <c r="S252" s="142"/>
      <c r="T252" s="142"/>
      <c r="U252" s="142"/>
      <c r="V252" s="142"/>
      <c r="W252" s="142"/>
      <c r="X252" s="142"/>
      <c r="Y252" s="143"/>
      <c r="Z252" s="143"/>
      <c r="AA252" s="143"/>
      <c r="AB252" s="143"/>
      <c r="AC252" s="143"/>
      <c r="AD252" s="142"/>
      <c r="AE252" s="142"/>
      <c r="AF252" s="142"/>
      <c r="AG252" s="142"/>
      <c r="AH252" s="142"/>
      <c r="AI252" s="142"/>
      <c r="AJ252" s="142"/>
      <c r="AK252" s="142"/>
      <c r="AL252" s="142"/>
      <c r="AM252" s="142"/>
      <c r="AN252" s="142"/>
      <c r="AO252" s="144">
        <f>Table1[[#This Row],[QUY ĐỔI GRAM]]-SUM(Table1[[#This Row],[XK ĐỒNG TÂM]:[XK LSX 8]])</f>
        <v>1000</v>
      </c>
      <c r="AP252" s="145">
        <f>Table1[[#This Row],[CÒN LẠI (gram)]]*Table1[[#This Row],[ĐƠN GIÁ /1 KG]]/1000</f>
        <v>2407407</v>
      </c>
      <c r="AQ252" s="3" t="s">
        <v>275</v>
      </c>
      <c r="AR252" s="138"/>
      <c r="AS252" s="138"/>
      <c r="AT252" s="138"/>
      <c r="AU252" s="138"/>
    </row>
    <row r="253" spans="1:47" ht="26.25" customHeight="1" x14ac:dyDescent="0.35">
      <c r="A253" s="163">
        <v>250</v>
      </c>
      <c r="B253" s="20" t="s">
        <v>530</v>
      </c>
      <c r="C253" s="165"/>
      <c r="D253" s="175"/>
      <c r="E253" s="15" t="s">
        <v>131</v>
      </c>
      <c r="F253" s="167">
        <v>13100</v>
      </c>
      <c r="G253" s="168">
        <v>46056</v>
      </c>
      <c r="H253" s="169">
        <v>67</v>
      </c>
      <c r="I253" s="170"/>
      <c r="J253" s="170">
        <v>850</v>
      </c>
      <c r="K253" s="171">
        <f>Table1[[#This Row],[SỐ LƯỢNG ]]*Table1[[#This Row],[ĐƠN GIÁ /1 KG]]</f>
        <v>11135000</v>
      </c>
      <c r="L253" s="170"/>
      <c r="M253" s="170"/>
      <c r="N253" s="170"/>
      <c r="O253" s="170"/>
      <c r="P253" s="170"/>
      <c r="Q253" s="170"/>
      <c r="R253" s="170"/>
      <c r="S253" s="170"/>
      <c r="T253" s="170"/>
      <c r="U253" s="170"/>
      <c r="V253" s="170"/>
      <c r="W253" s="170"/>
      <c r="X253" s="170"/>
      <c r="Y253" s="172"/>
      <c r="Z253" s="172"/>
      <c r="AA253" s="172"/>
      <c r="AB253" s="172"/>
      <c r="AC253" s="172"/>
      <c r="AD253" s="170"/>
      <c r="AE253" s="170"/>
      <c r="AF253" s="170"/>
      <c r="AG253" s="170"/>
      <c r="AH253" s="170"/>
      <c r="AI253" s="170"/>
      <c r="AJ253" s="170"/>
      <c r="AK253" s="170"/>
      <c r="AL253" s="170"/>
      <c r="AM253" s="170"/>
      <c r="AN253" s="170"/>
      <c r="AO253" s="51">
        <f>Table1[[#This Row],[SỐ LƯỢNG ]]-SUM(Table1[[#This Row],[XK ĐỒNG TÂM]:[XK LSX 8]])</f>
        <v>13100</v>
      </c>
      <c r="AP253" s="51">
        <f>Table1[[#This Row],[CÒN LẠI (gram)]]*Table1[[#This Row],[ĐƠN GIÁ /1 KG]]</f>
        <v>11135000</v>
      </c>
      <c r="AQ253" s="88" t="s">
        <v>88</v>
      </c>
      <c r="AR253" s="165"/>
      <c r="AS253" s="165"/>
      <c r="AT253" s="165"/>
      <c r="AU253" s="165"/>
    </row>
    <row r="254" spans="1:47" ht="26.25" customHeight="1" x14ac:dyDescent="0.35">
      <c r="A254" s="163">
        <v>251</v>
      </c>
      <c r="B254" s="53" t="s">
        <v>553</v>
      </c>
      <c r="C254" s="165"/>
      <c r="D254" s="135" t="s">
        <v>176</v>
      </c>
      <c r="E254" s="166" t="s">
        <v>17</v>
      </c>
      <c r="F254" s="167">
        <v>6.6</v>
      </c>
      <c r="G254" s="168">
        <v>46056</v>
      </c>
      <c r="H254" s="169">
        <v>462</v>
      </c>
      <c r="I254" s="170">
        <f>Table1[[#This Row],[SỐ LƯỢNG ]]*1000</f>
        <v>6600</v>
      </c>
      <c r="J254" s="170">
        <v>450000</v>
      </c>
      <c r="K254" s="171">
        <f>Table1[[#This Row],[SỐ LƯỢNG ]]*Table1[[#This Row],[ĐƠN GIÁ /1 KG]]</f>
        <v>2970000</v>
      </c>
      <c r="L254" s="170"/>
      <c r="M254" s="170"/>
      <c r="N254" s="170"/>
      <c r="O254" s="170"/>
      <c r="P254" s="170"/>
      <c r="Q254" s="170"/>
      <c r="R254" s="170"/>
      <c r="S254" s="170"/>
      <c r="T254" s="170"/>
      <c r="U254" s="170"/>
      <c r="V254" s="170"/>
      <c r="W254" s="170"/>
      <c r="X254" s="170"/>
      <c r="Y254" s="172"/>
      <c r="Z254" s="172"/>
      <c r="AA254" s="172"/>
      <c r="AB254" s="172"/>
      <c r="AC254" s="172"/>
      <c r="AD254" s="170"/>
      <c r="AE254" s="170"/>
      <c r="AF254" s="170"/>
      <c r="AG254" s="170"/>
      <c r="AH254" s="170">
        <v>6600</v>
      </c>
      <c r="AI254" s="170"/>
      <c r="AJ254" s="170"/>
      <c r="AK254" s="170"/>
      <c r="AL254" s="170"/>
      <c r="AM254" s="170"/>
      <c r="AN254" s="170"/>
      <c r="AO254" s="173">
        <f>Table1[[#This Row],[QUY ĐỔI GRAM]]-SUM(Table1[[#This Row],[XK ĐỒNG TÂM]:[XK LSX 8]])</f>
        <v>0</v>
      </c>
      <c r="AP254" s="174">
        <f>Table1[[#This Row],[CÒN LẠI (gram)]]*Table1[[#This Row],[ĐƠN GIÁ /1 KG]]/1000</f>
        <v>0</v>
      </c>
      <c r="AQ254" s="47" t="s">
        <v>269</v>
      </c>
      <c r="AR254" s="165"/>
      <c r="AS254" s="165"/>
      <c r="AT254" s="165"/>
      <c r="AU254" s="165"/>
    </row>
    <row r="255" spans="1:47" ht="26.25" customHeight="1" x14ac:dyDescent="0.35">
      <c r="A255" s="163">
        <v>252</v>
      </c>
      <c r="B255" s="53" t="s">
        <v>449</v>
      </c>
      <c r="C255" s="165"/>
      <c r="D255" s="134" t="s">
        <v>450</v>
      </c>
      <c r="E255" s="166" t="s">
        <v>17</v>
      </c>
      <c r="F255" s="167">
        <v>8</v>
      </c>
      <c r="G255" s="168">
        <v>46056</v>
      </c>
      <c r="H255" s="169">
        <v>462</v>
      </c>
      <c r="I255" s="170">
        <f>Table1[[#This Row],[SỐ LƯỢNG ]]*1000</f>
        <v>8000</v>
      </c>
      <c r="J255" s="170">
        <v>595000</v>
      </c>
      <c r="K255" s="171">
        <f>Table1[[#This Row],[SỐ LƯỢNG ]]*Table1[[#This Row],[ĐƠN GIÁ /1 KG]]</f>
        <v>4760000</v>
      </c>
      <c r="L255" s="170"/>
      <c r="M255" s="170"/>
      <c r="N255" s="170"/>
      <c r="O255" s="170"/>
      <c r="P255" s="170"/>
      <c r="Q255" s="170"/>
      <c r="R255" s="170"/>
      <c r="S255" s="170"/>
      <c r="T255" s="170"/>
      <c r="U255" s="170"/>
      <c r="V255" s="170"/>
      <c r="W255" s="170"/>
      <c r="X255" s="170"/>
      <c r="Y255" s="172"/>
      <c r="Z255" s="172"/>
      <c r="AA255" s="172"/>
      <c r="AB255" s="172"/>
      <c r="AC255" s="172"/>
      <c r="AD255" s="170"/>
      <c r="AE255" s="170"/>
      <c r="AF255" s="170"/>
      <c r="AG255" s="170"/>
      <c r="AH255" s="170"/>
      <c r="AI255" s="170"/>
      <c r="AJ255" s="170"/>
      <c r="AK255" s="170"/>
      <c r="AL255" s="170"/>
      <c r="AM255" s="170"/>
      <c r="AN255" s="170"/>
      <c r="AO255" s="173">
        <f>Table1[[#This Row],[QUY ĐỔI GRAM]]-SUM(Table1[[#This Row],[XK ĐỒNG TÂM]:[XK LSX 8]])</f>
        <v>8000</v>
      </c>
      <c r="AP255" s="174">
        <f>Table1[[#This Row],[CÒN LẠI (gram)]]*Table1[[#This Row],[ĐƠN GIÁ /1 KG]]/1000</f>
        <v>4760000</v>
      </c>
      <c r="AQ255" s="47" t="s">
        <v>269</v>
      </c>
      <c r="AR255" s="165"/>
      <c r="AS255" s="165"/>
      <c r="AT255" s="165"/>
      <c r="AU255" s="165"/>
    </row>
    <row r="256" spans="1:47" ht="27.75" customHeight="1" x14ac:dyDescent="0.35">
      <c r="A256" s="163">
        <v>253</v>
      </c>
      <c r="B256" s="164" t="s">
        <v>531</v>
      </c>
      <c r="C256" s="165"/>
      <c r="D256" s="135" t="s">
        <v>537</v>
      </c>
      <c r="E256" s="166" t="s">
        <v>17</v>
      </c>
      <c r="F256" s="167">
        <v>0.1</v>
      </c>
      <c r="G256" s="168">
        <v>46056</v>
      </c>
      <c r="H256" s="169">
        <v>638</v>
      </c>
      <c r="I256" s="170">
        <f>Table1[[#This Row],[SỐ LƯỢNG ]]*1000</f>
        <v>100</v>
      </c>
      <c r="J256" s="170">
        <v>2250000</v>
      </c>
      <c r="K256" s="171">
        <f>Table1[[#This Row],[SỐ LƯỢNG ]]*Table1[[#This Row],[ĐƠN GIÁ /1 KG]]</f>
        <v>225000</v>
      </c>
      <c r="L256" s="170"/>
      <c r="M256" s="170"/>
      <c r="N256" s="170"/>
      <c r="O256" s="170"/>
      <c r="P256" s="170"/>
      <c r="Q256" s="170"/>
      <c r="R256" s="170"/>
      <c r="S256" s="170"/>
      <c r="T256" s="170"/>
      <c r="U256" s="170"/>
      <c r="V256" s="170"/>
      <c r="W256" s="170"/>
      <c r="X256" s="170"/>
      <c r="Y256" s="172"/>
      <c r="Z256" s="172"/>
      <c r="AA256" s="172"/>
      <c r="AB256" s="172"/>
      <c r="AC256" s="172"/>
      <c r="AD256" s="170"/>
      <c r="AE256" s="170"/>
      <c r="AF256" s="170"/>
      <c r="AG256" s="170"/>
      <c r="AH256" s="170">
        <v>40</v>
      </c>
      <c r="AI256" s="170"/>
      <c r="AJ256" s="170"/>
      <c r="AK256" s="170"/>
      <c r="AL256" s="170"/>
      <c r="AM256" s="170"/>
      <c r="AN256" s="170"/>
      <c r="AO256" s="173">
        <f>Table1[[#This Row],[QUY ĐỔI GRAM]]-SUM(Table1[[#This Row],[XK ĐỒNG TÂM]:[XK LSX 8]])</f>
        <v>60</v>
      </c>
      <c r="AP256" s="174">
        <f>Table1[[#This Row],[CÒN LẠI (gram)]]*Table1[[#This Row],[ĐƠN GIÁ /1 KG]]/1000</f>
        <v>135000</v>
      </c>
      <c r="AQ256" s="88" t="s">
        <v>20</v>
      </c>
      <c r="AR256" s="165"/>
      <c r="AS256" s="165"/>
      <c r="AT256" s="165"/>
      <c r="AU256" s="165"/>
    </row>
    <row r="257" spans="1:47" ht="28.5" customHeight="1" x14ac:dyDescent="0.35">
      <c r="A257" s="163">
        <v>254</v>
      </c>
      <c r="B257" s="53" t="s">
        <v>532</v>
      </c>
      <c r="C257" s="165"/>
      <c r="D257" s="134" t="s">
        <v>541</v>
      </c>
      <c r="E257" s="166" t="s">
        <v>17</v>
      </c>
      <c r="F257" s="167">
        <v>0.2</v>
      </c>
      <c r="G257" s="168">
        <v>46056</v>
      </c>
      <c r="H257" s="169">
        <v>638</v>
      </c>
      <c r="I257" s="170">
        <f>Table1[[#This Row],[SỐ LƯỢNG ]]*1000</f>
        <v>200</v>
      </c>
      <c r="J257" s="170">
        <v>310000</v>
      </c>
      <c r="K257" s="171">
        <f>Table1[[#This Row],[SỐ LƯỢNG ]]*Table1[[#This Row],[ĐƠN GIÁ /1 KG]]</f>
        <v>62000</v>
      </c>
      <c r="L257" s="170"/>
      <c r="M257" s="170"/>
      <c r="N257" s="170"/>
      <c r="O257" s="170"/>
      <c r="P257" s="170"/>
      <c r="Q257" s="170"/>
      <c r="R257" s="170"/>
      <c r="S257" s="170"/>
      <c r="T257" s="170"/>
      <c r="U257" s="170"/>
      <c r="V257" s="170"/>
      <c r="W257" s="170"/>
      <c r="X257" s="170"/>
      <c r="Y257" s="172"/>
      <c r="Z257" s="172"/>
      <c r="AA257" s="172"/>
      <c r="AB257" s="172"/>
      <c r="AC257" s="172"/>
      <c r="AD257" s="170"/>
      <c r="AE257" s="170"/>
      <c r="AF257" s="170"/>
      <c r="AG257" s="170"/>
      <c r="AH257" s="170"/>
      <c r="AI257" s="170"/>
      <c r="AJ257" s="170"/>
      <c r="AK257" s="170"/>
      <c r="AL257" s="170"/>
      <c r="AM257" s="170"/>
      <c r="AN257" s="170"/>
      <c r="AO257" s="173">
        <f>Table1[[#This Row],[QUY ĐỔI GRAM]]-SUM(Table1[[#This Row],[XK ĐỒNG TÂM]:[XK LSX 8]])</f>
        <v>200</v>
      </c>
      <c r="AP257" s="174">
        <f>Table1[[#This Row],[CÒN LẠI (gram)]]*Table1[[#This Row],[ĐƠN GIÁ /1 KG]]/1000</f>
        <v>62000</v>
      </c>
      <c r="AQ257" s="88" t="s">
        <v>20</v>
      </c>
      <c r="AR257" s="165"/>
      <c r="AS257" s="165"/>
      <c r="AT257" s="165"/>
      <c r="AU257" s="165"/>
    </row>
    <row r="258" spans="1:47" ht="28.5" customHeight="1" x14ac:dyDescent="0.35">
      <c r="A258" s="163">
        <v>255</v>
      </c>
      <c r="B258" s="53" t="s">
        <v>533</v>
      </c>
      <c r="C258" s="165"/>
      <c r="D258" s="89" t="s">
        <v>338</v>
      </c>
      <c r="E258" s="166" t="s">
        <v>17</v>
      </c>
      <c r="F258" s="167">
        <v>3.3</v>
      </c>
      <c r="G258" s="168">
        <v>46056</v>
      </c>
      <c r="H258" s="169">
        <v>638</v>
      </c>
      <c r="I258" s="170">
        <f>Table1[[#This Row],[SỐ LƯỢNG ]]*1000</f>
        <v>3300</v>
      </c>
      <c r="J258" s="170">
        <v>3660000</v>
      </c>
      <c r="K258" s="171">
        <f>Table1[[#This Row],[SỐ LƯỢNG ]]*Table1[[#This Row],[ĐƠN GIÁ /1 KG]]</f>
        <v>12078000</v>
      </c>
      <c r="L258" s="170"/>
      <c r="M258" s="170"/>
      <c r="N258" s="170"/>
      <c r="O258" s="170"/>
      <c r="P258" s="170"/>
      <c r="Q258" s="170"/>
      <c r="R258" s="170"/>
      <c r="S258" s="170"/>
      <c r="T258" s="170"/>
      <c r="U258" s="170"/>
      <c r="V258" s="170"/>
      <c r="W258" s="170"/>
      <c r="X258" s="170"/>
      <c r="Y258" s="172"/>
      <c r="Z258" s="172"/>
      <c r="AA258" s="172"/>
      <c r="AB258" s="172"/>
      <c r="AC258" s="172"/>
      <c r="AD258" s="170"/>
      <c r="AE258" s="170"/>
      <c r="AF258" s="170"/>
      <c r="AG258" s="170"/>
      <c r="AH258" s="170"/>
      <c r="AI258" s="170"/>
      <c r="AJ258" s="170"/>
      <c r="AK258" s="170"/>
      <c r="AL258" s="170"/>
      <c r="AM258" s="170"/>
      <c r="AN258" s="170"/>
      <c r="AO258" s="173">
        <f>Table1[[#This Row],[QUY ĐỔI GRAM]]-SUM(Table1[[#This Row],[XK ĐỒNG TÂM]:[XK LSX 8]])</f>
        <v>3300</v>
      </c>
      <c r="AP258" s="174">
        <f>Table1[[#This Row],[CÒN LẠI (gram)]]*Table1[[#This Row],[ĐƠN GIÁ /1 KG]]/1000</f>
        <v>12078000</v>
      </c>
      <c r="AQ258" s="88" t="s">
        <v>20</v>
      </c>
      <c r="AR258" s="165"/>
      <c r="AS258" s="165"/>
      <c r="AT258" s="165"/>
      <c r="AU258" s="165"/>
    </row>
    <row r="259" spans="1:47" ht="28.5" customHeight="1" x14ac:dyDescent="0.35">
      <c r="A259" s="163">
        <v>256</v>
      </c>
      <c r="B259" s="53" t="s">
        <v>534</v>
      </c>
      <c r="C259" s="165"/>
      <c r="D259" s="134" t="s">
        <v>542</v>
      </c>
      <c r="E259" s="166" t="s">
        <v>17</v>
      </c>
      <c r="F259" s="167">
        <v>0.1</v>
      </c>
      <c r="G259" s="168">
        <v>46056</v>
      </c>
      <c r="H259" s="169">
        <v>638</v>
      </c>
      <c r="I259" s="170">
        <f>Table1[[#This Row],[SỐ LƯỢNG ]]*1000</f>
        <v>100</v>
      </c>
      <c r="J259" s="170">
        <v>700000</v>
      </c>
      <c r="K259" s="171">
        <f>Table1[[#This Row],[SỐ LƯỢNG ]]*Table1[[#This Row],[ĐƠN GIÁ /1 KG]]</f>
        <v>70000</v>
      </c>
      <c r="L259" s="170"/>
      <c r="M259" s="170"/>
      <c r="N259" s="170"/>
      <c r="O259" s="170"/>
      <c r="P259" s="170"/>
      <c r="Q259" s="170"/>
      <c r="R259" s="170"/>
      <c r="S259" s="170"/>
      <c r="T259" s="170"/>
      <c r="U259" s="170"/>
      <c r="V259" s="170"/>
      <c r="W259" s="170"/>
      <c r="X259" s="170"/>
      <c r="Y259" s="172"/>
      <c r="Z259" s="172"/>
      <c r="AA259" s="172"/>
      <c r="AB259" s="172"/>
      <c r="AC259" s="172"/>
      <c r="AD259" s="170"/>
      <c r="AE259" s="170"/>
      <c r="AF259" s="170"/>
      <c r="AG259" s="170"/>
      <c r="AH259" s="170"/>
      <c r="AI259" s="170"/>
      <c r="AJ259" s="170"/>
      <c r="AK259" s="170"/>
      <c r="AL259" s="170"/>
      <c r="AM259" s="170"/>
      <c r="AN259" s="170"/>
      <c r="AO259" s="173">
        <f>Table1[[#This Row],[QUY ĐỔI GRAM]]-SUM(Table1[[#This Row],[XK ĐỒNG TÂM]:[XK LSX 8]])</f>
        <v>100</v>
      </c>
      <c r="AP259" s="174">
        <f>Table1[[#This Row],[CÒN LẠI (gram)]]*Table1[[#This Row],[ĐƠN GIÁ /1 KG]]/1000</f>
        <v>70000</v>
      </c>
      <c r="AQ259" s="88" t="s">
        <v>20</v>
      </c>
      <c r="AR259" s="165"/>
      <c r="AS259" s="165"/>
      <c r="AT259" s="165"/>
      <c r="AU259" s="165"/>
    </row>
    <row r="260" spans="1:47" ht="28.5" customHeight="1" x14ac:dyDescent="0.35">
      <c r="A260" s="163">
        <v>257</v>
      </c>
      <c r="B260" s="53" t="s">
        <v>535</v>
      </c>
      <c r="C260" s="13" t="s">
        <v>171</v>
      </c>
      <c r="D260" s="14" t="s">
        <v>365</v>
      </c>
      <c r="E260" s="166" t="s">
        <v>17</v>
      </c>
      <c r="F260" s="167">
        <v>2.2999999999999998</v>
      </c>
      <c r="G260" s="168">
        <v>46056</v>
      </c>
      <c r="H260" s="169">
        <v>638</v>
      </c>
      <c r="I260" s="170">
        <f>Table1[[#This Row],[SỐ LƯỢNG ]]*1000</f>
        <v>2300</v>
      </c>
      <c r="J260" s="170">
        <v>1580000</v>
      </c>
      <c r="K260" s="171">
        <f>Table1[[#This Row],[SỐ LƯỢNG ]]*Table1[[#This Row],[ĐƠN GIÁ /1 KG]]</f>
        <v>3633999.9999999995</v>
      </c>
      <c r="L260" s="170"/>
      <c r="M260" s="170"/>
      <c r="N260" s="170"/>
      <c r="O260" s="170"/>
      <c r="P260" s="170"/>
      <c r="Q260" s="170"/>
      <c r="R260" s="170"/>
      <c r="S260" s="170"/>
      <c r="T260" s="170"/>
      <c r="U260" s="170"/>
      <c r="V260" s="170"/>
      <c r="W260" s="170"/>
      <c r="X260" s="170"/>
      <c r="Y260" s="172"/>
      <c r="Z260" s="172"/>
      <c r="AA260" s="172"/>
      <c r="AB260" s="172"/>
      <c r="AC260" s="172"/>
      <c r="AD260" s="170"/>
      <c r="AE260" s="170"/>
      <c r="AF260" s="170"/>
      <c r="AG260" s="170"/>
      <c r="AH260" s="170"/>
      <c r="AI260" s="170"/>
      <c r="AJ260" s="170"/>
      <c r="AK260" s="170"/>
      <c r="AL260" s="170"/>
      <c r="AM260" s="170"/>
      <c r="AN260" s="170"/>
      <c r="AO260" s="173">
        <f>Table1[[#This Row],[QUY ĐỔI GRAM]]-SUM(Table1[[#This Row],[XK ĐỒNG TÂM]:[XK LSX 8]])</f>
        <v>2300</v>
      </c>
      <c r="AP260" s="174">
        <f>Table1[[#This Row],[CÒN LẠI (gram)]]*Table1[[#This Row],[ĐƠN GIÁ /1 KG]]/1000</f>
        <v>3634000</v>
      </c>
      <c r="AQ260" s="88" t="s">
        <v>20</v>
      </c>
      <c r="AR260" s="165"/>
      <c r="AS260" s="165"/>
      <c r="AT260" s="165"/>
      <c r="AU260" s="165"/>
    </row>
    <row r="261" spans="1:47" ht="28.5" customHeight="1" x14ac:dyDescent="0.35">
      <c r="A261" s="163">
        <v>258</v>
      </c>
      <c r="B261" s="164" t="s">
        <v>536</v>
      </c>
      <c r="C261" s="165"/>
      <c r="D261" s="134" t="s">
        <v>543</v>
      </c>
      <c r="E261" s="166" t="s">
        <v>17</v>
      </c>
      <c r="F261" s="167">
        <v>1.2</v>
      </c>
      <c r="G261" s="168">
        <v>46056</v>
      </c>
      <c r="H261" s="169">
        <v>638</v>
      </c>
      <c r="I261" s="170">
        <f>Table1[[#This Row],[SỐ LƯỢNG ]]*1000</f>
        <v>1200</v>
      </c>
      <c r="J261" s="170">
        <v>1540000</v>
      </c>
      <c r="K261" s="171">
        <f>Table1[[#This Row],[SỐ LƯỢNG ]]*Table1[[#This Row],[ĐƠN GIÁ /1 KG]]</f>
        <v>1848000</v>
      </c>
      <c r="L261" s="170"/>
      <c r="M261" s="170"/>
      <c r="N261" s="170"/>
      <c r="O261" s="170"/>
      <c r="P261" s="170"/>
      <c r="Q261" s="170"/>
      <c r="R261" s="170"/>
      <c r="S261" s="170"/>
      <c r="T261" s="170"/>
      <c r="U261" s="170"/>
      <c r="V261" s="170"/>
      <c r="W261" s="170"/>
      <c r="X261" s="170"/>
      <c r="Y261" s="172"/>
      <c r="Z261" s="172"/>
      <c r="AA261" s="172"/>
      <c r="AB261" s="172"/>
      <c r="AC261" s="172"/>
      <c r="AD261" s="170"/>
      <c r="AE261" s="170"/>
      <c r="AF261" s="170"/>
      <c r="AG261" s="170"/>
      <c r="AH261" s="170"/>
      <c r="AI261" s="170"/>
      <c r="AJ261" s="170"/>
      <c r="AK261" s="170"/>
      <c r="AL261" s="170"/>
      <c r="AM261" s="170"/>
      <c r="AN261" s="170"/>
      <c r="AO261" s="173">
        <f>Table1[[#This Row],[QUY ĐỔI GRAM]]-SUM(Table1[[#This Row],[XK ĐỒNG TÂM]:[XK LSX 8]])</f>
        <v>1200</v>
      </c>
      <c r="AP261" s="174">
        <f>Table1[[#This Row],[CÒN LẠI (gram)]]*Table1[[#This Row],[ĐƠN GIÁ /1 KG]]/1000</f>
        <v>1848000</v>
      </c>
      <c r="AQ261" s="88" t="s">
        <v>20</v>
      </c>
      <c r="AR261" s="165"/>
      <c r="AS261" s="165"/>
      <c r="AT261" s="165"/>
      <c r="AU261" s="165"/>
    </row>
    <row r="262" spans="1:47" ht="28.5" customHeight="1" x14ac:dyDescent="0.35">
      <c r="A262" s="163">
        <v>259</v>
      </c>
      <c r="B262" s="164" t="s">
        <v>544</v>
      </c>
      <c r="C262" s="165"/>
      <c r="D262" s="159" t="s">
        <v>556</v>
      </c>
      <c r="E262" s="166" t="s">
        <v>17</v>
      </c>
      <c r="F262" s="167">
        <v>1</v>
      </c>
      <c r="G262" s="168">
        <v>46057</v>
      </c>
      <c r="H262" s="169">
        <v>1619</v>
      </c>
      <c r="I262" s="170">
        <f>Table1[[#This Row],[SỐ LƯỢNG ]]*1000</f>
        <v>1000</v>
      </c>
      <c r="J262" s="170">
        <v>420000</v>
      </c>
      <c r="K262" s="171">
        <f>Table1[[#This Row],[SỐ LƯỢNG ]]*Table1[[#This Row],[ĐƠN GIÁ /1 KG]]</f>
        <v>420000</v>
      </c>
      <c r="L262" s="170"/>
      <c r="M262" s="170"/>
      <c r="N262" s="170"/>
      <c r="O262" s="170"/>
      <c r="P262" s="170"/>
      <c r="Q262" s="170"/>
      <c r="R262" s="170"/>
      <c r="S262" s="170"/>
      <c r="T262" s="170"/>
      <c r="U262" s="170"/>
      <c r="V262" s="170"/>
      <c r="W262" s="170"/>
      <c r="X262" s="170"/>
      <c r="Y262" s="172"/>
      <c r="Z262" s="172"/>
      <c r="AA262" s="172"/>
      <c r="AB262" s="172"/>
      <c r="AC262" s="172"/>
      <c r="AD262" s="170"/>
      <c r="AE262" s="170"/>
      <c r="AF262" s="170"/>
      <c r="AG262" s="170"/>
      <c r="AH262" s="170"/>
      <c r="AI262" s="170"/>
      <c r="AJ262" s="170"/>
      <c r="AK262" s="170"/>
      <c r="AL262" s="170"/>
      <c r="AM262" s="170"/>
      <c r="AN262" s="170"/>
      <c r="AO262" s="173">
        <f>Table1[[#This Row],[QUY ĐỔI GRAM]]-SUM(Table1[[#This Row],[XK ĐỒNG TÂM]:[XK LSX 8]])</f>
        <v>1000</v>
      </c>
      <c r="AP262" s="174">
        <f>Table1[[#This Row],[CÒN LẠI (gram)]]*Table1[[#This Row],[ĐƠN GIÁ /1 KG]]/1000</f>
        <v>420000</v>
      </c>
      <c r="AQ262" s="3" t="s">
        <v>39</v>
      </c>
      <c r="AR262" s="165"/>
      <c r="AS262" s="165"/>
      <c r="AT262" s="165"/>
      <c r="AU262" s="165"/>
    </row>
    <row r="263" spans="1:47" ht="28.5" customHeight="1" x14ac:dyDescent="0.35">
      <c r="A263" s="163">
        <v>260</v>
      </c>
      <c r="B263" s="164" t="s">
        <v>545</v>
      </c>
      <c r="C263" s="165"/>
      <c r="D263" s="180" t="s">
        <v>557</v>
      </c>
      <c r="E263" s="166" t="s">
        <v>17</v>
      </c>
      <c r="F263" s="167">
        <v>1</v>
      </c>
      <c r="G263" s="168">
        <v>46057</v>
      </c>
      <c r="H263" s="169">
        <v>1619</v>
      </c>
      <c r="I263" s="170">
        <f>Table1[[#This Row],[SỐ LƯỢNG ]]*1000</f>
        <v>1000</v>
      </c>
      <c r="J263" s="170">
        <v>115000</v>
      </c>
      <c r="K263" s="171">
        <f>Table1[[#This Row],[SỐ LƯỢNG ]]*Table1[[#This Row],[ĐƠN GIÁ /1 KG]]</f>
        <v>115000</v>
      </c>
      <c r="L263" s="170"/>
      <c r="M263" s="170"/>
      <c r="N263" s="170"/>
      <c r="O263" s="170"/>
      <c r="P263" s="170"/>
      <c r="Q263" s="170"/>
      <c r="R263" s="170"/>
      <c r="S263" s="170"/>
      <c r="T263" s="170"/>
      <c r="U263" s="170"/>
      <c r="V263" s="170"/>
      <c r="W263" s="170"/>
      <c r="X263" s="170"/>
      <c r="Y263" s="172"/>
      <c r="Z263" s="172"/>
      <c r="AA263" s="172"/>
      <c r="AB263" s="172"/>
      <c r="AC263" s="172"/>
      <c r="AD263" s="170"/>
      <c r="AE263" s="170"/>
      <c r="AF263" s="170"/>
      <c r="AG263" s="170"/>
      <c r="AH263" s="170"/>
      <c r="AI263" s="170"/>
      <c r="AJ263" s="170"/>
      <c r="AK263" s="170"/>
      <c r="AL263" s="170"/>
      <c r="AM263" s="170"/>
      <c r="AN263" s="170"/>
      <c r="AO263" s="173">
        <f>Table1[[#This Row],[QUY ĐỔI GRAM]]-SUM(Table1[[#This Row],[XK ĐỒNG TÂM]:[XK LSX 8]])</f>
        <v>1000</v>
      </c>
      <c r="AP263" s="174">
        <f>Table1[[#This Row],[CÒN LẠI (gram)]]*Table1[[#This Row],[ĐƠN GIÁ /1 KG]]/1000</f>
        <v>115000</v>
      </c>
      <c r="AQ263" s="3" t="s">
        <v>39</v>
      </c>
      <c r="AR263" s="165"/>
      <c r="AS263" s="165"/>
      <c r="AT263" s="165"/>
      <c r="AU263" s="165"/>
    </row>
    <row r="264" spans="1:47" ht="28.5" customHeight="1" x14ac:dyDescent="0.35">
      <c r="A264" s="163">
        <v>261</v>
      </c>
      <c r="B264" s="164" t="s">
        <v>398</v>
      </c>
      <c r="C264" s="3" t="s">
        <v>405</v>
      </c>
      <c r="D264" s="13" t="s">
        <v>404</v>
      </c>
      <c r="E264" s="166" t="s">
        <v>17</v>
      </c>
      <c r="F264" s="167">
        <v>4</v>
      </c>
      <c r="G264" s="168">
        <v>46057</v>
      </c>
      <c r="H264" s="169">
        <v>1619</v>
      </c>
      <c r="I264" s="170">
        <f>Table1[[#This Row],[SỐ LƯỢNG ]]*1000</f>
        <v>4000</v>
      </c>
      <c r="J264" s="170">
        <v>1125740</v>
      </c>
      <c r="K264" s="171">
        <f>Table1[[#This Row],[SỐ LƯỢNG ]]*Table1[[#This Row],[ĐƠN GIÁ /1 KG]]</f>
        <v>4502960</v>
      </c>
      <c r="L264" s="170"/>
      <c r="M264" s="170"/>
      <c r="N264" s="170"/>
      <c r="O264" s="170"/>
      <c r="P264" s="170"/>
      <c r="Q264" s="170"/>
      <c r="R264" s="170"/>
      <c r="S264" s="170"/>
      <c r="T264" s="170"/>
      <c r="U264" s="170"/>
      <c r="V264" s="170"/>
      <c r="W264" s="170"/>
      <c r="X264" s="170"/>
      <c r="Y264" s="172"/>
      <c r="Z264" s="172"/>
      <c r="AA264" s="172"/>
      <c r="AB264" s="172"/>
      <c r="AC264" s="172"/>
      <c r="AD264" s="170"/>
      <c r="AE264" s="170"/>
      <c r="AF264" s="170"/>
      <c r="AG264" s="170"/>
      <c r="AH264" s="170"/>
      <c r="AI264" s="170"/>
      <c r="AJ264" s="170"/>
      <c r="AK264" s="170"/>
      <c r="AL264" s="170"/>
      <c r="AM264" s="170"/>
      <c r="AN264" s="170"/>
      <c r="AO264" s="173">
        <f>Table1[[#This Row],[QUY ĐỔI GRAM]]-SUM(Table1[[#This Row],[XK ĐỒNG TÂM]:[XK LSX 8]])</f>
        <v>4000</v>
      </c>
      <c r="AP264" s="174">
        <f>Table1[[#This Row],[CÒN LẠI (gram)]]*Table1[[#This Row],[ĐƠN GIÁ /1 KG]]/1000</f>
        <v>4502960</v>
      </c>
      <c r="AQ264" s="3" t="s">
        <v>39</v>
      </c>
      <c r="AR264" s="165"/>
      <c r="AS264" s="165"/>
      <c r="AT264" s="165"/>
      <c r="AU264" s="165"/>
    </row>
    <row r="265" spans="1:47" ht="23.25" customHeight="1" x14ac:dyDescent="0.35">
      <c r="A265" s="163">
        <v>262</v>
      </c>
      <c r="B265" s="164" t="s">
        <v>237</v>
      </c>
      <c r="C265" s="165"/>
      <c r="D265" s="136" t="s">
        <v>357</v>
      </c>
      <c r="E265" s="166" t="s">
        <v>17</v>
      </c>
      <c r="F265" s="167">
        <v>0.5</v>
      </c>
      <c r="G265" s="168">
        <v>46057</v>
      </c>
      <c r="H265" s="169">
        <v>1619</v>
      </c>
      <c r="I265" s="170">
        <f>Table1[[#This Row],[SỐ LƯỢNG ]]*1000</f>
        <v>500</v>
      </c>
      <c r="J265" s="170">
        <v>1400000</v>
      </c>
      <c r="K265" s="171">
        <f>Table1[[#This Row],[SỐ LƯỢNG ]]*Table1[[#This Row],[ĐƠN GIÁ /1 KG]]</f>
        <v>700000</v>
      </c>
      <c r="L265" s="170"/>
      <c r="M265" s="170"/>
      <c r="N265" s="170"/>
      <c r="O265" s="170"/>
      <c r="P265" s="170"/>
      <c r="Q265" s="170"/>
      <c r="R265" s="170"/>
      <c r="S265" s="170"/>
      <c r="T265" s="170"/>
      <c r="U265" s="170"/>
      <c r="V265" s="170"/>
      <c r="W265" s="170"/>
      <c r="X265" s="170"/>
      <c r="Y265" s="172"/>
      <c r="Z265" s="172"/>
      <c r="AA265" s="172"/>
      <c r="AB265" s="172"/>
      <c r="AC265" s="172"/>
      <c r="AD265" s="170"/>
      <c r="AE265" s="170"/>
      <c r="AF265" s="170"/>
      <c r="AG265" s="170"/>
      <c r="AH265" s="170"/>
      <c r="AI265" s="170"/>
      <c r="AJ265" s="170"/>
      <c r="AK265" s="170"/>
      <c r="AL265" s="170"/>
      <c r="AM265" s="170"/>
      <c r="AN265" s="170"/>
      <c r="AO265" s="173">
        <f>Table1[[#This Row],[QUY ĐỔI GRAM]]-SUM(Table1[[#This Row],[XK ĐỒNG TÂM]:[XK LSX 8]])</f>
        <v>500</v>
      </c>
      <c r="AP265" s="174">
        <f>Table1[[#This Row],[CÒN LẠI (gram)]]*Table1[[#This Row],[ĐƠN GIÁ /1 KG]]/1000</f>
        <v>700000</v>
      </c>
      <c r="AQ265" s="3" t="s">
        <v>39</v>
      </c>
      <c r="AR265" s="165"/>
      <c r="AS265" s="165"/>
      <c r="AT265" s="165"/>
      <c r="AU265" s="165"/>
    </row>
    <row r="266" spans="1:47" ht="27.75" customHeight="1" x14ac:dyDescent="0.35">
      <c r="A266" s="163">
        <v>263</v>
      </c>
      <c r="B266" s="164" t="s">
        <v>147</v>
      </c>
      <c r="C266" s="165"/>
      <c r="D266" s="14" t="s">
        <v>430</v>
      </c>
      <c r="E266" s="166" t="s">
        <v>17</v>
      </c>
      <c r="F266" s="167">
        <v>6</v>
      </c>
      <c r="G266" s="168">
        <v>46057</v>
      </c>
      <c r="H266" s="169">
        <v>1619</v>
      </c>
      <c r="I266" s="170">
        <f>Table1[[#This Row],[SỐ LƯỢNG ]]*1000</f>
        <v>6000</v>
      </c>
      <c r="J266" s="170">
        <v>720000</v>
      </c>
      <c r="K266" s="171">
        <f>Table1[[#This Row],[SỐ LƯỢNG ]]*Table1[[#This Row],[ĐƠN GIÁ /1 KG]]</f>
        <v>4320000</v>
      </c>
      <c r="L266" s="170"/>
      <c r="M266" s="170"/>
      <c r="N266" s="170"/>
      <c r="O266" s="170"/>
      <c r="P266" s="170"/>
      <c r="Q266" s="170"/>
      <c r="R266" s="170"/>
      <c r="S266" s="170"/>
      <c r="T266" s="170"/>
      <c r="U266" s="170"/>
      <c r="V266" s="170"/>
      <c r="W266" s="170"/>
      <c r="X266" s="170"/>
      <c r="Y266" s="172"/>
      <c r="Z266" s="172"/>
      <c r="AA266" s="172"/>
      <c r="AB266" s="172"/>
      <c r="AC266" s="172"/>
      <c r="AD266" s="170"/>
      <c r="AE266" s="170"/>
      <c r="AF266" s="170"/>
      <c r="AG266" s="170"/>
      <c r="AH266" s="170"/>
      <c r="AI266" s="170"/>
      <c r="AJ266" s="170"/>
      <c r="AK266" s="170"/>
      <c r="AL266" s="170"/>
      <c r="AM266" s="170"/>
      <c r="AN266" s="170"/>
      <c r="AO266" s="173">
        <f>Table1[[#This Row],[QUY ĐỔI GRAM]]-SUM(Table1[[#This Row],[XK ĐỒNG TÂM]:[XK LSX 8]])</f>
        <v>6000</v>
      </c>
      <c r="AP266" s="174">
        <f>Table1[[#This Row],[CÒN LẠI (gram)]]*Table1[[#This Row],[ĐƠN GIÁ /1 KG]]/1000</f>
        <v>4320000</v>
      </c>
      <c r="AQ266" s="3" t="s">
        <v>39</v>
      </c>
      <c r="AR266" s="165"/>
      <c r="AS266" s="165"/>
      <c r="AT266" s="165"/>
      <c r="AU266" s="165"/>
    </row>
    <row r="267" spans="1:47" ht="27.75" customHeight="1" x14ac:dyDescent="0.35">
      <c r="A267" s="163">
        <v>264</v>
      </c>
      <c r="B267" s="164" t="s">
        <v>279</v>
      </c>
      <c r="C267" s="84" t="s">
        <v>281</v>
      </c>
      <c r="D267" s="85" t="s">
        <v>280</v>
      </c>
      <c r="E267" s="166" t="s">
        <v>17</v>
      </c>
      <c r="F267" s="167">
        <v>2</v>
      </c>
      <c r="G267" s="168">
        <v>46057</v>
      </c>
      <c r="H267" s="169">
        <v>1619</v>
      </c>
      <c r="I267" s="170">
        <f>Table1[[#This Row],[SỐ LƯỢNG ]]*1000</f>
        <v>2000</v>
      </c>
      <c r="J267" s="170">
        <v>540000</v>
      </c>
      <c r="K267" s="171">
        <f>Table1[[#This Row],[SỐ LƯỢNG ]]*Table1[[#This Row],[ĐƠN GIÁ /1 KG]]</f>
        <v>1080000</v>
      </c>
      <c r="L267" s="170"/>
      <c r="M267" s="170"/>
      <c r="N267" s="170"/>
      <c r="O267" s="170"/>
      <c r="P267" s="170"/>
      <c r="Q267" s="170"/>
      <c r="R267" s="170"/>
      <c r="S267" s="170"/>
      <c r="T267" s="170"/>
      <c r="U267" s="170"/>
      <c r="V267" s="170"/>
      <c r="W267" s="170"/>
      <c r="X267" s="170"/>
      <c r="Y267" s="172"/>
      <c r="Z267" s="172"/>
      <c r="AA267" s="172"/>
      <c r="AB267" s="172"/>
      <c r="AC267" s="172"/>
      <c r="AD267" s="170"/>
      <c r="AE267" s="170"/>
      <c r="AF267" s="170"/>
      <c r="AG267" s="170"/>
      <c r="AH267" s="170"/>
      <c r="AI267" s="170"/>
      <c r="AJ267" s="170"/>
      <c r="AK267" s="170"/>
      <c r="AL267" s="170"/>
      <c r="AM267" s="170"/>
      <c r="AN267" s="170"/>
      <c r="AO267" s="173">
        <f>Table1[[#This Row],[QUY ĐỔI GRAM]]-SUM(Table1[[#This Row],[XK ĐỒNG TÂM]:[XK LSX 8]])</f>
        <v>2000</v>
      </c>
      <c r="AP267" s="174">
        <f>Table1[[#This Row],[CÒN LẠI (gram)]]*Table1[[#This Row],[ĐƠN GIÁ /1 KG]]/1000</f>
        <v>1080000</v>
      </c>
      <c r="AQ267" s="3" t="s">
        <v>39</v>
      </c>
      <c r="AR267" s="165"/>
      <c r="AS267" s="165"/>
      <c r="AT267" s="165"/>
      <c r="AU267" s="165"/>
    </row>
    <row r="268" spans="1:47" ht="27.75" customHeight="1" x14ac:dyDescent="0.35">
      <c r="A268" s="163">
        <v>265</v>
      </c>
      <c r="B268" s="164" t="s">
        <v>546</v>
      </c>
      <c r="C268" s="165" t="s">
        <v>547</v>
      </c>
      <c r="D268" s="159" t="s">
        <v>51</v>
      </c>
      <c r="E268" s="166" t="s">
        <v>17</v>
      </c>
      <c r="F268" s="167">
        <v>33</v>
      </c>
      <c r="G268" s="168">
        <v>46057</v>
      </c>
      <c r="H268" s="169">
        <v>1757</v>
      </c>
      <c r="I268" s="170">
        <f>Table1[[#This Row],[SỐ LƯỢNG ]]*1000</f>
        <v>33000</v>
      </c>
      <c r="J268" s="170">
        <v>315000</v>
      </c>
      <c r="K268" s="171">
        <f>Table1[[#This Row],[SỐ LƯỢNG ]]*Table1[[#This Row],[ĐƠN GIÁ /1 KG]]</f>
        <v>10395000</v>
      </c>
      <c r="L268" s="170"/>
      <c r="M268" s="170"/>
      <c r="N268" s="170"/>
      <c r="O268" s="170"/>
      <c r="P268" s="170"/>
      <c r="Q268" s="170"/>
      <c r="R268" s="170"/>
      <c r="S268" s="170"/>
      <c r="T268" s="170"/>
      <c r="U268" s="170"/>
      <c r="V268" s="170"/>
      <c r="W268" s="170"/>
      <c r="X268" s="170"/>
      <c r="Y268" s="172"/>
      <c r="Z268" s="172"/>
      <c r="AA268" s="172"/>
      <c r="AB268" s="172"/>
      <c r="AC268" s="172"/>
      <c r="AD268" s="170"/>
      <c r="AE268" s="170"/>
      <c r="AF268" s="170"/>
      <c r="AG268" s="170"/>
      <c r="AH268" s="170"/>
      <c r="AI268" s="170"/>
      <c r="AJ268" s="170"/>
      <c r="AK268" s="170"/>
      <c r="AL268" s="170"/>
      <c r="AM268" s="170"/>
      <c r="AN268" s="170"/>
      <c r="AO268" s="173">
        <f>Table1[[#This Row],[QUY ĐỔI GRAM]]-SUM(Table1[[#This Row],[XK ĐỒNG TÂM]:[XK LSX 8]])</f>
        <v>33000</v>
      </c>
      <c r="AP268" s="174">
        <f>Table1[[#This Row],[CÒN LẠI (gram)]]*Table1[[#This Row],[ĐƠN GIÁ /1 KG]]/1000</f>
        <v>10395000</v>
      </c>
      <c r="AQ268" s="3" t="s">
        <v>39</v>
      </c>
      <c r="AR268" s="165"/>
      <c r="AS268" s="165"/>
      <c r="AT268" s="165"/>
      <c r="AU268" s="165"/>
    </row>
    <row r="269" spans="1:47" ht="27.75" customHeight="1" x14ac:dyDescent="0.35">
      <c r="A269" s="163">
        <v>266</v>
      </c>
      <c r="B269" s="20" t="s">
        <v>548</v>
      </c>
      <c r="C269" s="165"/>
      <c r="D269" s="53"/>
      <c r="E269" s="15" t="s">
        <v>24</v>
      </c>
      <c r="F269" s="167">
        <v>2000</v>
      </c>
      <c r="G269" s="168">
        <v>46057</v>
      </c>
      <c r="H269" s="169">
        <v>1370</v>
      </c>
      <c r="I269" s="170"/>
      <c r="J269" s="170">
        <v>165</v>
      </c>
      <c r="K269" s="171">
        <f>Table1[[#This Row],[SỐ LƯỢNG ]]*Table1[[#This Row],[ĐƠN GIÁ /1 KG]]</f>
        <v>330000</v>
      </c>
      <c r="L269" s="170"/>
      <c r="M269" s="170"/>
      <c r="N269" s="170"/>
      <c r="O269" s="170"/>
      <c r="P269" s="170"/>
      <c r="Q269" s="170"/>
      <c r="R269" s="170"/>
      <c r="S269" s="170"/>
      <c r="T269" s="170"/>
      <c r="U269" s="170"/>
      <c r="V269" s="170"/>
      <c r="W269" s="170"/>
      <c r="X269" s="170"/>
      <c r="Y269" s="172"/>
      <c r="Z269" s="172"/>
      <c r="AA269" s="172"/>
      <c r="AB269" s="172"/>
      <c r="AC269" s="172"/>
      <c r="AD269" s="170"/>
      <c r="AE269" s="170"/>
      <c r="AF269" s="170"/>
      <c r="AG269" s="170"/>
      <c r="AH269" s="170"/>
      <c r="AI269" s="170"/>
      <c r="AJ269" s="170"/>
      <c r="AK269" s="170"/>
      <c r="AL269" s="170"/>
      <c r="AM269" s="170"/>
      <c r="AN269" s="170"/>
      <c r="AO269" s="51">
        <f>Table1[[#This Row],[SỐ LƯỢNG ]]-SUM(Table1[[#This Row],[XK ĐỒNG TÂM]:[XK LSX 8]])</f>
        <v>2000</v>
      </c>
      <c r="AP269" s="51">
        <f>Table1[[#This Row],[CÒN LẠI (gram)]]*Table1[[#This Row],[ĐƠN GIÁ /1 KG]]</f>
        <v>330000</v>
      </c>
      <c r="AQ269" s="3" t="s">
        <v>33</v>
      </c>
      <c r="AR269" s="165"/>
      <c r="AS269" s="165"/>
      <c r="AT269" s="165"/>
      <c r="AU269" s="165"/>
    </row>
    <row r="270" spans="1:47" ht="27.75" customHeight="1" x14ac:dyDescent="0.35">
      <c r="A270" s="163">
        <v>267</v>
      </c>
      <c r="B270" s="20" t="s">
        <v>549</v>
      </c>
      <c r="C270" s="165"/>
      <c r="D270" s="53"/>
      <c r="E270" s="15" t="s">
        <v>24</v>
      </c>
      <c r="F270" s="167">
        <v>2000</v>
      </c>
      <c r="G270" s="168">
        <v>46057</v>
      </c>
      <c r="H270" s="169">
        <v>1370</v>
      </c>
      <c r="I270" s="170"/>
      <c r="J270" s="170">
        <v>420</v>
      </c>
      <c r="K270" s="171">
        <f>Table1[[#This Row],[SỐ LƯỢNG ]]*Table1[[#This Row],[ĐƠN GIÁ /1 KG]]</f>
        <v>840000</v>
      </c>
      <c r="L270" s="170"/>
      <c r="M270" s="170"/>
      <c r="N270" s="170"/>
      <c r="O270" s="170"/>
      <c r="P270" s="170"/>
      <c r="Q270" s="170"/>
      <c r="R270" s="170"/>
      <c r="S270" s="170"/>
      <c r="T270" s="170"/>
      <c r="U270" s="170"/>
      <c r="V270" s="170"/>
      <c r="W270" s="170"/>
      <c r="X270" s="170"/>
      <c r="Y270" s="172"/>
      <c r="Z270" s="172"/>
      <c r="AA270" s="172"/>
      <c r="AB270" s="172"/>
      <c r="AC270" s="172"/>
      <c r="AD270" s="170"/>
      <c r="AE270" s="170"/>
      <c r="AF270" s="170"/>
      <c r="AG270" s="170"/>
      <c r="AH270" s="170"/>
      <c r="AI270" s="170"/>
      <c r="AJ270" s="170"/>
      <c r="AK270" s="170"/>
      <c r="AL270" s="170"/>
      <c r="AM270" s="170"/>
      <c r="AN270" s="170"/>
      <c r="AO270" s="51">
        <f>Table1[[#This Row],[SỐ LƯỢNG ]]-SUM(Table1[[#This Row],[XK ĐỒNG TÂM]:[XK LSX 8]])</f>
        <v>2000</v>
      </c>
      <c r="AP270" s="51">
        <f>Table1[[#This Row],[CÒN LẠI (gram)]]*Table1[[#This Row],[ĐƠN GIÁ /1 KG]]</f>
        <v>840000</v>
      </c>
      <c r="AQ270" s="3" t="s">
        <v>33</v>
      </c>
      <c r="AR270" s="165"/>
      <c r="AS270" s="165"/>
      <c r="AT270" s="165"/>
      <c r="AU270" s="165"/>
    </row>
    <row r="271" spans="1:47" ht="27.75" customHeight="1" x14ac:dyDescent="0.35">
      <c r="A271" s="163">
        <v>268</v>
      </c>
      <c r="B271" s="20" t="s">
        <v>550</v>
      </c>
      <c r="C271" s="165"/>
      <c r="D271" s="53"/>
      <c r="E271" s="15" t="s">
        <v>24</v>
      </c>
      <c r="F271" s="167">
        <v>2000</v>
      </c>
      <c r="G271" s="168">
        <v>46057</v>
      </c>
      <c r="H271" s="169">
        <v>1370</v>
      </c>
      <c r="I271" s="170"/>
      <c r="J271" s="170">
        <v>550</v>
      </c>
      <c r="K271" s="171">
        <f>Table1[[#This Row],[SỐ LƯỢNG ]]*Table1[[#This Row],[ĐƠN GIÁ /1 KG]]</f>
        <v>1100000</v>
      </c>
      <c r="L271" s="170"/>
      <c r="M271" s="170"/>
      <c r="N271" s="170"/>
      <c r="O271" s="170"/>
      <c r="P271" s="170"/>
      <c r="Q271" s="170"/>
      <c r="R271" s="170"/>
      <c r="S271" s="170"/>
      <c r="T271" s="170"/>
      <c r="U271" s="170"/>
      <c r="V271" s="170"/>
      <c r="W271" s="170"/>
      <c r="X271" s="170"/>
      <c r="Y271" s="172"/>
      <c r="Z271" s="172"/>
      <c r="AA271" s="172"/>
      <c r="AB271" s="172"/>
      <c r="AC271" s="172"/>
      <c r="AD271" s="170"/>
      <c r="AE271" s="170"/>
      <c r="AF271" s="170"/>
      <c r="AG271" s="170"/>
      <c r="AH271" s="170"/>
      <c r="AI271" s="170"/>
      <c r="AJ271" s="170"/>
      <c r="AK271" s="170"/>
      <c r="AL271" s="170"/>
      <c r="AM271" s="170"/>
      <c r="AN271" s="170"/>
      <c r="AO271" s="51">
        <f>Table1[[#This Row],[SỐ LƯỢNG ]]-SUM(Table1[[#This Row],[XK ĐỒNG TÂM]:[XK LSX 8]])</f>
        <v>2000</v>
      </c>
      <c r="AP271" s="51">
        <f>Table1[[#This Row],[CÒN LẠI (gram)]]*Table1[[#This Row],[ĐƠN GIÁ /1 KG]]</f>
        <v>1100000</v>
      </c>
      <c r="AQ271" s="3" t="s">
        <v>33</v>
      </c>
      <c r="AR271" s="165"/>
      <c r="AS271" s="165"/>
      <c r="AT271" s="165"/>
      <c r="AU271" s="165"/>
    </row>
    <row r="272" spans="1:47" ht="27.75" customHeight="1" x14ac:dyDescent="0.35">
      <c r="A272" s="163">
        <v>269</v>
      </c>
      <c r="B272" s="20" t="s">
        <v>551</v>
      </c>
      <c r="C272" s="165"/>
      <c r="D272" s="53"/>
      <c r="E272" s="15" t="s">
        <v>24</v>
      </c>
      <c r="F272" s="167">
        <v>2000</v>
      </c>
      <c r="G272" s="168">
        <v>46057</v>
      </c>
      <c r="H272" s="169">
        <v>1370</v>
      </c>
      <c r="I272" s="170"/>
      <c r="J272" s="170">
        <v>675</v>
      </c>
      <c r="K272" s="171">
        <f>Table1[[#This Row],[SỐ LƯỢNG ]]*Table1[[#This Row],[ĐƠN GIÁ /1 KG]]</f>
        <v>1350000</v>
      </c>
      <c r="L272" s="170"/>
      <c r="M272" s="170"/>
      <c r="N272" s="170"/>
      <c r="O272" s="170"/>
      <c r="P272" s="170"/>
      <c r="Q272" s="170"/>
      <c r="R272" s="170"/>
      <c r="S272" s="170"/>
      <c r="T272" s="170"/>
      <c r="U272" s="170"/>
      <c r="V272" s="170"/>
      <c r="W272" s="170"/>
      <c r="X272" s="170"/>
      <c r="Y272" s="172"/>
      <c r="Z272" s="172"/>
      <c r="AA272" s="172"/>
      <c r="AB272" s="172"/>
      <c r="AC272" s="172"/>
      <c r="AD272" s="170"/>
      <c r="AE272" s="170"/>
      <c r="AF272" s="170"/>
      <c r="AG272" s="170"/>
      <c r="AH272" s="170"/>
      <c r="AI272" s="170"/>
      <c r="AJ272" s="170"/>
      <c r="AK272" s="170"/>
      <c r="AL272" s="170"/>
      <c r="AM272" s="170"/>
      <c r="AN272" s="170"/>
      <c r="AO272" s="51">
        <f>Table1[[#This Row],[SỐ LƯỢNG ]]-SUM(Table1[[#This Row],[XK ĐỒNG TÂM]:[XK LSX 8]])</f>
        <v>2000</v>
      </c>
      <c r="AP272" s="51">
        <f>Table1[[#This Row],[CÒN LẠI (gram)]]*Table1[[#This Row],[ĐƠN GIÁ /1 KG]]</f>
        <v>1350000</v>
      </c>
      <c r="AQ272" s="3" t="s">
        <v>33</v>
      </c>
      <c r="AR272" s="165"/>
      <c r="AS272" s="165"/>
      <c r="AT272" s="165"/>
      <c r="AU272" s="165"/>
    </row>
    <row r="273" spans="1:47" ht="27.75" customHeight="1" x14ac:dyDescent="0.35">
      <c r="A273" s="163">
        <v>270</v>
      </c>
      <c r="B273" s="53" t="s">
        <v>304</v>
      </c>
      <c r="C273" s="165"/>
      <c r="D273" s="13" t="s">
        <v>305</v>
      </c>
      <c r="E273" s="166" t="s">
        <v>17</v>
      </c>
      <c r="F273" s="167">
        <v>6</v>
      </c>
      <c r="G273" s="168">
        <v>46059</v>
      </c>
      <c r="H273" s="169">
        <v>1758</v>
      </c>
      <c r="I273" s="170">
        <f>Table1[[#This Row],[SỐ LƯỢNG ]]*1000</f>
        <v>6000</v>
      </c>
      <c r="J273" s="177">
        <v>143518.51999999999</v>
      </c>
      <c r="K273" s="171">
        <f>Table1[[#This Row],[SỐ LƯỢNG ]]*Table1[[#This Row],[ĐƠN GIÁ /1 KG]]</f>
        <v>861111.11999999988</v>
      </c>
      <c r="L273" s="170"/>
      <c r="M273" s="170"/>
      <c r="N273" s="170"/>
      <c r="O273" s="170"/>
      <c r="P273" s="170"/>
      <c r="Q273" s="170"/>
      <c r="R273" s="170"/>
      <c r="S273" s="170"/>
      <c r="T273" s="170"/>
      <c r="U273" s="170"/>
      <c r="V273" s="170"/>
      <c r="W273" s="170"/>
      <c r="X273" s="170"/>
      <c r="Y273" s="172"/>
      <c r="Z273" s="172"/>
      <c r="AA273" s="172"/>
      <c r="AB273" s="172"/>
      <c r="AC273" s="172"/>
      <c r="AD273" s="170"/>
      <c r="AE273" s="170"/>
      <c r="AF273" s="170"/>
      <c r="AG273" s="170"/>
      <c r="AH273" s="170"/>
      <c r="AI273" s="170"/>
      <c r="AJ273" s="170"/>
      <c r="AK273" s="170"/>
      <c r="AL273" s="170"/>
      <c r="AM273" s="170"/>
      <c r="AN273" s="170"/>
      <c r="AO273" s="173">
        <f>Table1[[#This Row],[QUY ĐỔI GRAM]]-SUM(Table1[[#This Row],[XK ĐỒNG TÂM]:[XK LSX 8]])</f>
        <v>6000</v>
      </c>
      <c r="AP273" s="174">
        <f>Table1[[#This Row],[CÒN LẠI (gram)]]*Table1[[#This Row],[ĐƠN GIÁ /1 KG]]/1000</f>
        <v>861111.11999999988</v>
      </c>
      <c r="AQ273" s="3" t="s">
        <v>39</v>
      </c>
      <c r="AR273" s="165"/>
      <c r="AS273" s="165"/>
      <c r="AT273" s="165"/>
      <c r="AU273" s="165"/>
    </row>
    <row r="274" spans="1:47" ht="27.75" customHeight="1" x14ac:dyDescent="0.35">
      <c r="A274" s="163">
        <v>271</v>
      </c>
      <c r="B274" s="53" t="s">
        <v>65</v>
      </c>
      <c r="C274" s="165"/>
      <c r="D274" s="14" t="s">
        <v>66</v>
      </c>
      <c r="E274" s="166" t="s">
        <v>17</v>
      </c>
      <c r="F274" s="167">
        <v>5</v>
      </c>
      <c r="G274" s="168">
        <v>46060</v>
      </c>
      <c r="H274" s="169">
        <v>519</v>
      </c>
      <c r="I274" s="170">
        <f>Table1[[#This Row],[SỐ LƯỢNG ]]*1000</f>
        <v>5000</v>
      </c>
      <c r="J274" s="170">
        <v>950000</v>
      </c>
      <c r="K274" s="171">
        <f>Table1[[#This Row],[SỐ LƯỢNG ]]*Table1[[#This Row],[ĐƠN GIÁ /1 KG]]</f>
        <v>4750000</v>
      </c>
      <c r="L274" s="170"/>
      <c r="M274" s="170"/>
      <c r="N274" s="170"/>
      <c r="O274" s="170"/>
      <c r="P274" s="170"/>
      <c r="Q274" s="170"/>
      <c r="R274" s="170"/>
      <c r="S274" s="170"/>
      <c r="T274" s="170"/>
      <c r="U274" s="170"/>
      <c r="V274" s="170"/>
      <c r="W274" s="170"/>
      <c r="X274" s="170"/>
      <c r="Y274" s="172"/>
      <c r="Z274" s="172"/>
      <c r="AA274" s="172"/>
      <c r="AB274" s="172"/>
      <c r="AC274" s="172"/>
      <c r="AD274" s="170"/>
      <c r="AE274" s="170"/>
      <c r="AF274" s="170"/>
      <c r="AG274" s="170"/>
      <c r="AH274" s="170"/>
      <c r="AI274" s="170"/>
      <c r="AJ274" s="170"/>
      <c r="AK274" s="170"/>
      <c r="AL274" s="170"/>
      <c r="AM274" s="170"/>
      <c r="AN274" s="170"/>
      <c r="AO274" s="173">
        <f>Table1[[#This Row],[QUY ĐỔI GRAM]]-SUM(Table1[[#This Row],[XK ĐỒNG TÂM]:[XK LSX 8]])</f>
        <v>5000</v>
      </c>
      <c r="AP274" s="174">
        <f>Table1[[#This Row],[CÒN LẠI (gram)]]*Table1[[#This Row],[ĐƠN GIÁ /1 KG]]/1000</f>
        <v>4750000</v>
      </c>
      <c r="AQ274" s="88" t="s">
        <v>349</v>
      </c>
      <c r="AR274" s="165"/>
      <c r="AS274" s="165"/>
      <c r="AT274" s="165"/>
      <c r="AU274" s="165"/>
    </row>
    <row r="275" spans="1:47" ht="27.75" customHeight="1" x14ac:dyDescent="0.35">
      <c r="A275" s="163">
        <v>272</v>
      </c>
      <c r="B275" s="20" t="s">
        <v>552</v>
      </c>
      <c r="C275" s="165"/>
      <c r="D275" s="165"/>
      <c r="E275" s="15" t="s">
        <v>558</v>
      </c>
      <c r="F275" s="167">
        <v>20000</v>
      </c>
      <c r="G275" s="168">
        <v>46062</v>
      </c>
      <c r="H275" s="169">
        <v>74</v>
      </c>
      <c r="I275" s="170"/>
      <c r="J275" s="170">
        <v>2750</v>
      </c>
      <c r="K275" s="171">
        <f>Table1[[#This Row],[SỐ LƯỢNG ]]*Table1[[#This Row],[ĐƠN GIÁ /1 KG]]</f>
        <v>55000000</v>
      </c>
      <c r="L275" s="170"/>
      <c r="M275" s="170"/>
      <c r="N275" s="170"/>
      <c r="O275" s="170"/>
      <c r="P275" s="170"/>
      <c r="Q275" s="170"/>
      <c r="R275" s="170"/>
      <c r="S275" s="170"/>
      <c r="T275" s="170"/>
      <c r="U275" s="170"/>
      <c r="V275" s="170"/>
      <c r="W275" s="170"/>
      <c r="X275" s="170"/>
      <c r="Y275" s="172"/>
      <c r="Z275" s="172"/>
      <c r="AA275" s="172"/>
      <c r="AB275" s="172"/>
      <c r="AC275" s="172"/>
      <c r="AD275" s="170"/>
      <c r="AE275" s="170"/>
      <c r="AF275" s="170"/>
      <c r="AG275" s="170"/>
      <c r="AH275" s="170"/>
      <c r="AI275" s="170"/>
      <c r="AJ275" s="170"/>
      <c r="AK275" s="170"/>
      <c r="AL275" s="170"/>
      <c r="AM275" s="170"/>
      <c r="AN275" s="170"/>
      <c r="AO275" s="51">
        <f>Table1[[#This Row],[SỐ LƯỢNG ]]-SUM(Table1[[#This Row],[XK ĐỒNG TÂM]:[XK LSX 8]])</f>
        <v>20000</v>
      </c>
      <c r="AP275" s="51">
        <f>Table1[[#This Row],[CÒN LẠI (gram)]]*Table1[[#This Row],[ĐƠN GIÁ /1 KG]]</f>
        <v>55000000</v>
      </c>
      <c r="AQ275" s="88" t="s">
        <v>88</v>
      </c>
      <c r="AR275" s="165"/>
      <c r="AS275" s="165"/>
      <c r="AT275" s="165"/>
      <c r="AU275" s="165"/>
    </row>
    <row r="276" spans="1:47" ht="27.75" customHeight="1" x14ac:dyDescent="0.35">
      <c r="A276" s="163">
        <v>273</v>
      </c>
      <c r="B276" s="20" t="s">
        <v>559</v>
      </c>
      <c r="C276" s="165"/>
      <c r="D276" s="165"/>
      <c r="E276" s="15" t="s">
        <v>24</v>
      </c>
      <c r="F276" s="167">
        <v>10000</v>
      </c>
      <c r="G276" s="168">
        <v>46062</v>
      </c>
      <c r="H276" s="169">
        <v>1561</v>
      </c>
      <c r="I276" s="170"/>
      <c r="J276" s="170">
        <v>121</v>
      </c>
      <c r="K276" s="171">
        <f>Table1[[#This Row],[SỐ LƯỢNG ]]*Table1[[#This Row],[ĐƠN GIÁ /1 KG]]</f>
        <v>1210000</v>
      </c>
      <c r="L276" s="170"/>
      <c r="M276" s="170"/>
      <c r="N276" s="170"/>
      <c r="O276" s="170"/>
      <c r="P276" s="170"/>
      <c r="Q276" s="170"/>
      <c r="R276" s="170"/>
      <c r="S276" s="170"/>
      <c r="T276" s="170"/>
      <c r="U276" s="170"/>
      <c r="V276" s="170"/>
      <c r="W276" s="170"/>
      <c r="X276" s="170"/>
      <c r="Y276" s="172"/>
      <c r="Z276" s="172"/>
      <c r="AA276" s="172"/>
      <c r="AB276" s="172"/>
      <c r="AC276" s="172"/>
      <c r="AD276" s="170"/>
      <c r="AE276" s="170"/>
      <c r="AF276" s="170"/>
      <c r="AG276" s="170"/>
      <c r="AH276" s="170"/>
      <c r="AI276" s="170"/>
      <c r="AJ276" s="170"/>
      <c r="AK276" s="170"/>
      <c r="AL276" s="170"/>
      <c r="AM276" s="170"/>
      <c r="AN276" s="170"/>
      <c r="AO276" s="51">
        <f>Table1[[#This Row],[SỐ LƯỢNG ]]-SUM(Table1[[#This Row],[XK ĐỒNG TÂM]:[XK LSX 8]])</f>
        <v>10000</v>
      </c>
      <c r="AP276" s="51">
        <f>Table1[[#This Row],[CÒN LẠI (gram)]]*Table1[[#This Row],[ĐƠN GIÁ /1 KG]]</f>
        <v>1210000</v>
      </c>
      <c r="AQ276" s="3" t="s">
        <v>33</v>
      </c>
      <c r="AR276" s="165"/>
      <c r="AS276" s="165"/>
      <c r="AT276" s="165"/>
      <c r="AU276" s="165"/>
    </row>
    <row r="277" spans="1:47" ht="27.75" customHeight="1" x14ac:dyDescent="0.35">
      <c r="A277" s="163">
        <v>274</v>
      </c>
      <c r="B277" s="53" t="s">
        <v>561</v>
      </c>
      <c r="C277" s="165"/>
      <c r="D277" s="180" t="s">
        <v>560</v>
      </c>
      <c r="E277" s="15" t="s">
        <v>17</v>
      </c>
      <c r="F277" s="167">
        <v>1</v>
      </c>
      <c r="G277" s="168">
        <v>46062</v>
      </c>
      <c r="H277" s="169">
        <v>1829</v>
      </c>
      <c r="I277" s="170">
        <f>Table1[[#This Row],[SỐ LƯỢNG ]]*1000</f>
        <v>1000</v>
      </c>
      <c r="J277" s="170">
        <v>800000</v>
      </c>
      <c r="K277" s="171">
        <f>Table1[[#This Row],[SỐ LƯỢNG ]]*Table1[[#This Row],[ĐƠN GIÁ /1 KG]]</f>
        <v>800000</v>
      </c>
      <c r="L277" s="170"/>
      <c r="M277" s="170"/>
      <c r="N277" s="170"/>
      <c r="O277" s="170"/>
      <c r="P277" s="170"/>
      <c r="Q277" s="170"/>
      <c r="R277" s="170"/>
      <c r="S277" s="170"/>
      <c r="T277" s="170"/>
      <c r="U277" s="170"/>
      <c r="V277" s="170"/>
      <c r="W277" s="170"/>
      <c r="X277" s="170"/>
      <c r="Y277" s="172"/>
      <c r="Z277" s="172"/>
      <c r="AA277" s="172"/>
      <c r="AB277" s="172"/>
      <c r="AC277" s="172"/>
      <c r="AD277" s="170"/>
      <c r="AE277" s="170"/>
      <c r="AF277" s="170"/>
      <c r="AG277" s="170"/>
      <c r="AH277" s="170"/>
      <c r="AI277" s="170"/>
      <c r="AJ277" s="170"/>
      <c r="AK277" s="170"/>
      <c r="AL277" s="170"/>
      <c r="AM277" s="170"/>
      <c r="AN277" s="170"/>
      <c r="AO277" s="173">
        <f>Table1[[#This Row],[QUY ĐỔI GRAM]]-SUM(Table1[[#This Row],[XK ĐỒNG TÂM]:[XK LSX 8]])</f>
        <v>1000</v>
      </c>
      <c r="AP277" s="174">
        <f>Table1[[#This Row],[CÒN LẠI (gram)]]*Table1[[#This Row],[ĐƠN GIÁ /1 KG]]/1000</f>
        <v>800000</v>
      </c>
      <c r="AQ277" s="3" t="s">
        <v>39</v>
      </c>
      <c r="AR277" s="165"/>
      <c r="AS277" s="165"/>
      <c r="AT277" s="165"/>
      <c r="AU277" s="165"/>
    </row>
    <row r="278" spans="1:47" ht="27.75" customHeight="1" x14ac:dyDescent="0.35">
      <c r="A278" s="163">
        <v>275</v>
      </c>
      <c r="B278" s="53" t="s">
        <v>135</v>
      </c>
      <c r="C278" s="165"/>
      <c r="D278" s="14" t="s">
        <v>178</v>
      </c>
      <c r="E278" s="15" t="s">
        <v>17</v>
      </c>
      <c r="F278" s="167">
        <v>3</v>
      </c>
      <c r="G278" s="168">
        <v>46063</v>
      </c>
      <c r="H278" s="169">
        <v>633</v>
      </c>
      <c r="I278" s="170">
        <f>Table1[[#This Row],[SỐ LƯỢNG ]]*1000</f>
        <v>3000</v>
      </c>
      <c r="J278" s="170">
        <v>2151000</v>
      </c>
      <c r="K278" s="171">
        <f>Table1[[#This Row],[SỐ LƯỢNG ]]*Table1[[#This Row],[ĐƠN GIÁ /1 KG]]</f>
        <v>6453000</v>
      </c>
      <c r="L278" s="170"/>
      <c r="M278" s="170"/>
      <c r="N278" s="170"/>
      <c r="O278" s="170"/>
      <c r="P278" s="170"/>
      <c r="Q278" s="170"/>
      <c r="R278" s="170"/>
      <c r="S278" s="170"/>
      <c r="T278" s="170"/>
      <c r="U278" s="170"/>
      <c r="V278" s="170"/>
      <c r="W278" s="170"/>
      <c r="X278" s="170"/>
      <c r="Y278" s="172"/>
      <c r="Z278" s="172"/>
      <c r="AA278" s="172"/>
      <c r="AB278" s="172"/>
      <c r="AC278" s="172"/>
      <c r="AD278" s="170"/>
      <c r="AE278" s="170"/>
      <c r="AF278" s="170"/>
      <c r="AG278" s="170"/>
      <c r="AH278" s="170"/>
      <c r="AI278" s="170"/>
      <c r="AJ278" s="170"/>
      <c r="AK278" s="170"/>
      <c r="AL278" s="170"/>
      <c r="AM278" s="170"/>
      <c r="AN278" s="170"/>
      <c r="AO278" s="173">
        <f>Table1[[#This Row],[QUY ĐỔI GRAM]]-SUM(Table1[[#This Row],[XK ĐỒNG TÂM]:[XK LSX 8]])</f>
        <v>3000</v>
      </c>
      <c r="AP278" s="174">
        <f>Table1[[#This Row],[CÒN LẠI (gram)]]*Table1[[#This Row],[ĐƠN GIÁ /1 KG]]/1000</f>
        <v>6453000</v>
      </c>
      <c r="AQ278" s="3" t="s">
        <v>136</v>
      </c>
      <c r="AR278" s="165"/>
      <c r="AS278" s="165"/>
      <c r="AT278" s="165"/>
      <c r="AU278" s="165"/>
    </row>
    <row r="279" spans="1:47" ht="27.75" customHeight="1" x14ac:dyDescent="0.35">
      <c r="A279" s="163">
        <v>276</v>
      </c>
      <c r="B279" s="53" t="s">
        <v>562</v>
      </c>
      <c r="C279" s="165"/>
      <c r="D279" s="175"/>
      <c r="E279" s="15" t="s">
        <v>260</v>
      </c>
      <c r="F279" s="167">
        <v>2000</v>
      </c>
      <c r="G279" s="168">
        <v>46063</v>
      </c>
      <c r="H279" s="169">
        <v>285</v>
      </c>
      <c r="I279" s="170"/>
      <c r="J279" s="170">
        <v>4700</v>
      </c>
      <c r="K279" s="171">
        <f>Table1[[#This Row],[SỐ LƯỢNG ]]*Table1[[#This Row],[ĐƠN GIÁ /1 KG]]</f>
        <v>9400000</v>
      </c>
      <c r="L279" s="170"/>
      <c r="M279" s="170"/>
      <c r="N279" s="170"/>
      <c r="O279" s="170"/>
      <c r="P279" s="170"/>
      <c r="Q279" s="170"/>
      <c r="R279" s="170"/>
      <c r="S279" s="170"/>
      <c r="T279" s="170"/>
      <c r="U279" s="170"/>
      <c r="V279" s="170"/>
      <c r="W279" s="170"/>
      <c r="X279" s="170"/>
      <c r="Y279" s="172"/>
      <c r="Z279" s="172"/>
      <c r="AA279" s="172"/>
      <c r="AB279" s="172"/>
      <c r="AC279" s="172"/>
      <c r="AD279" s="170"/>
      <c r="AE279" s="170"/>
      <c r="AF279" s="170"/>
      <c r="AG279" s="170"/>
      <c r="AH279" s="170"/>
      <c r="AI279" s="170"/>
      <c r="AJ279" s="170"/>
      <c r="AK279" s="170"/>
      <c r="AL279" s="170"/>
      <c r="AM279" s="170"/>
      <c r="AN279" s="170"/>
      <c r="AO279" s="51">
        <f>Table1[[#This Row],[SỐ LƯỢNG ]]-SUM(Table1[[#This Row],[XK ĐỒNG TÂM]:[XK LSX 8]])</f>
        <v>2000</v>
      </c>
      <c r="AP279" s="51">
        <f>Table1[[#This Row],[CÒN LẠI (gram)]]*Table1[[#This Row],[ĐƠN GIÁ /1 KG]]</f>
        <v>9400000</v>
      </c>
      <c r="AQ279" s="3" t="s">
        <v>563</v>
      </c>
      <c r="AR279" s="165"/>
      <c r="AS279" s="165"/>
      <c r="AT279" s="165"/>
      <c r="AU279" s="165"/>
    </row>
    <row r="280" spans="1:47" ht="27.75" customHeight="1" x14ac:dyDescent="0.35">
      <c r="A280" s="163">
        <v>277</v>
      </c>
      <c r="B280" s="53" t="s">
        <v>564</v>
      </c>
      <c r="C280" s="20"/>
      <c r="D280" s="181" t="s">
        <v>609</v>
      </c>
      <c r="E280" s="15" t="s">
        <v>17</v>
      </c>
      <c r="F280" s="43">
        <v>2</v>
      </c>
      <c r="G280" s="52">
        <v>46064</v>
      </c>
      <c r="H280" s="26">
        <v>44</v>
      </c>
      <c r="I280" s="44">
        <f>Table1[[#This Row],[SỐ LƯỢNG ]]*1000</f>
        <v>2000</v>
      </c>
      <c r="J280" s="44">
        <v>1593000</v>
      </c>
      <c r="K280" s="16">
        <f>Table1[[#This Row],[SỐ LƯỢNG ]]*Table1[[#This Row],[ĐƠN GIÁ /1 KG]]</f>
        <v>3186000</v>
      </c>
      <c r="L280" s="44"/>
      <c r="M280" s="44"/>
      <c r="N280" s="44"/>
      <c r="O280" s="44"/>
      <c r="P280" s="44"/>
      <c r="Q280" s="44"/>
      <c r="R280" s="44"/>
      <c r="S280" s="44"/>
      <c r="T280" s="44"/>
      <c r="U280" s="44"/>
      <c r="V280" s="44"/>
      <c r="W280" s="44"/>
      <c r="X280" s="44"/>
      <c r="Y280" s="50"/>
      <c r="Z280" s="50"/>
      <c r="AA280" s="50"/>
      <c r="AB280" s="50"/>
      <c r="AC280" s="50"/>
      <c r="AD280" s="44"/>
      <c r="AE280" s="44"/>
      <c r="AF280" s="44"/>
      <c r="AG280" s="44"/>
      <c r="AH280" s="44"/>
      <c r="AI280" s="44"/>
      <c r="AJ280" s="44"/>
      <c r="AK280" s="44"/>
      <c r="AL280" s="44"/>
      <c r="AM280" s="44"/>
      <c r="AN280" s="44"/>
      <c r="AO280" s="45">
        <f>Table1[[#This Row],[QUY ĐỔI GRAM]]-SUM(Table1[[#This Row],[XK ĐỒNG TÂM]:[XK LSX 8]])</f>
        <v>2000</v>
      </c>
      <c r="AP280" s="51">
        <f>Table1[[#This Row],[CÒN LẠI (gram)]]*Table1[[#This Row],[ĐƠN GIÁ /1 KG]]/1000</f>
        <v>3186000</v>
      </c>
      <c r="AQ280" s="3" t="s">
        <v>565</v>
      </c>
      <c r="AR280" s="20"/>
      <c r="AS280" s="20"/>
      <c r="AT280" s="20"/>
      <c r="AU280" s="20"/>
    </row>
    <row r="281" spans="1:47" ht="27.75" customHeight="1" x14ac:dyDescent="0.35">
      <c r="A281" s="163">
        <v>278</v>
      </c>
      <c r="B281" s="53" t="s">
        <v>570</v>
      </c>
      <c r="C281" s="20"/>
      <c r="D281" s="181" t="s">
        <v>608</v>
      </c>
      <c r="E281" s="15" t="s">
        <v>17</v>
      </c>
      <c r="F281" s="43">
        <v>1</v>
      </c>
      <c r="G281" s="52">
        <v>46080</v>
      </c>
      <c r="H281" s="26">
        <v>1123</v>
      </c>
      <c r="I281" s="44">
        <f>Table1[[#This Row],[SỐ LƯỢNG ]]*1000</f>
        <v>1000</v>
      </c>
      <c r="J281" s="44">
        <v>390000</v>
      </c>
      <c r="K281" s="16">
        <f>Table1[[#This Row],[SỐ LƯỢNG ]]*Table1[[#This Row],[ĐƠN GIÁ /1 KG]]</f>
        <v>390000</v>
      </c>
      <c r="L281" s="44"/>
      <c r="M281" s="44"/>
      <c r="N281" s="44"/>
      <c r="O281" s="44"/>
      <c r="P281" s="44"/>
      <c r="Q281" s="44"/>
      <c r="R281" s="44"/>
      <c r="S281" s="44"/>
      <c r="T281" s="44"/>
      <c r="U281" s="44"/>
      <c r="V281" s="44"/>
      <c r="W281" s="44"/>
      <c r="X281" s="44"/>
      <c r="Y281" s="50"/>
      <c r="Z281" s="50"/>
      <c r="AA281" s="50"/>
      <c r="AB281" s="50"/>
      <c r="AC281" s="50"/>
      <c r="AD281" s="44"/>
      <c r="AE281" s="44"/>
      <c r="AF281" s="44"/>
      <c r="AG281" s="44"/>
      <c r="AH281" s="44"/>
      <c r="AI281" s="44"/>
      <c r="AJ281" s="44"/>
      <c r="AK281" s="44"/>
      <c r="AL281" s="44"/>
      <c r="AM281" s="44"/>
      <c r="AN281" s="44"/>
      <c r="AO281" s="45">
        <f>Table1[[#This Row],[QUY ĐỔI GRAM]]-SUM(Table1[[#This Row],[XK ĐỒNG TÂM]:[XK LSX 8]])</f>
        <v>1000</v>
      </c>
      <c r="AP281" s="51">
        <f>Table1[[#This Row],[CÒN LẠI (gram)]]*Table1[[#This Row],[ĐƠN GIÁ /1 KG]]/1000</f>
        <v>390000</v>
      </c>
      <c r="AQ281" s="3" t="s">
        <v>275</v>
      </c>
      <c r="AR281" s="20"/>
      <c r="AS281" s="20"/>
      <c r="AT281" s="20"/>
      <c r="AU281" s="20"/>
    </row>
    <row r="282" spans="1:47" ht="27.75" customHeight="1" x14ac:dyDescent="0.35">
      <c r="A282" s="163">
        <v>279</v>
      </c>
      <c r="B282" s="66" t="s">
        <v>474</v>
      </c>
      <c r="C282" s="47"/>
      <c r="D282" s="89" t="s">
        <v>408</v>
      </c>
      <c r="E282" s="15" t="s">
        <v>17</v>
      </c>
      <c r="F282" s="49">
        <v>50</v>
      </c>
      <c r="G282" s="72">
        <v>46087</v>
      </c>
      <c r="H282" s="69">
        <v>20</v>
      </c>
      <c r="I282" s="50">
        <f>Table1[[#This Row],[SỐ LƯỢNG ]]*1000</f>
        <v>50000</v>
      </c>
      <c r="J282" s="50">
        <v>480000</v>
      </c>
      <c r="K282" s="16">
        <f>Table1[[#This Row],[SỐ LƯỢNG ]]*Table1[[#This Row],[ĐƠN GIÁ /1 KG]]</f>
        <v>24000000</v>
      </c>
      <c r="L282" s="50"/>
      <c r="M282" s="50"/>
      <c r="N282" s="50"/>
      <c r="O282" s="50"/>
      <c r="P282" s="50"/>
      <c r="Q282" s="50"/>
      <c r="R282" s="50"/>
      <c r="S282" s="50"/>
      <c r="T282" s="50"/>
      <c r="U282" s="50"/>
      <c r="V282" s="50"/>
      <c r="W282" s="50"/>
      <c r="X282" s="50"/>
      <c r="Y282" s="50"/>
      <c r="Z282" s="50"/>
      <c r="AA282" s="50"/>
      <c r="AB282" s="50"/>
      <c r="AC282" s="50"/>
      <c r="AD282" s="50"/>
      <c r="AE282" s="44"/>
      <c r="AF282" s="44"/>
      <c r="AG282" s="44"/>
      <c r="AH282" s="44"/>
      <c r="AI282" s="44"/>
      <c r="AJ282" s="44"/>
      <c r="AK282" s="44"/>
      <c r="AL282" s="44"/>
      <c r="AM282" s="44"/>
      <c r="AN282" s="44"/>
      <c r="AO282" s="51">
        <f>Table1[[#This Row],[QUY ĐỔI GRAM]]-SUM(Table1[[#This Row],[XK ĐỒNG TÂM]:[XK LSX 8]])</f>
        <v>50000</v>
      </c>
      <c r="AP282" s="51">
        <f>Table1[[#This Row],[CÒN LẠI (gram)]]*Table1[[#This Row],[ĐƠN GIÁ /1 KG]]/1000</f>
        <v>24000000</v>
      </c>
      <c r="AQ282" s="3" t="s">
        <v>218</v>
      </c>
      <c r="AR282" s="20"/>
      <c r="AS282" s="20"/>
      <c r="AT282" s="20"/>
      <c r="AU282" s="20"/>
    </row>
    <row r="283" spans="1:47" ht="25.5" customHeight="1" x14ac:dyDescent="0.35">
      <c r="A283" s="163">
        <v>280</v>
      </c>
      <c r="B283" s="53" t="s">
        <v>571</v>
      </c>
      <c r="C283" s="20"/>
      <c r="D283" s="182" t="s">
        <v>93</v>
      </c>
      <c r="E283" s="15" t="s">
        <v>17</v>
      </c>
      <c r="F283" s="43">
        <v>1</v>
      </c>
      <c r="G283" s="72">
        <v>46087</v>
      </c>
      <c r="H283" s="26">
        <v>21</v>
      </c>
      <c r="I283" s="44">
        <f>Table1[[#This Row],[SỐ LƯỢNG ]]*1000</f>
        <v>1000</v>
      </c>
      <c r="J283" s="44">
        <v>33000000</v>
      </c>
      <c r="K283" s="16">
        <f>Table1[[#This Row],[SỐ LƯỢNG ]]*Table1[[#This Row],[ĐƠN GIÁ /1 KG]]</f>
        <v>33000000</v>
      </c>
      <c r="L283" s="44"/>
      <c r="M283" s="44"/>
      <c r="N283" s="44"/>
      <c r="O283" s="44"/>
      <c r="P283" s="44"/>
      <c r="Q283" s="44"/>
      <c r="R283" s="44"/>
      <c r="S283" s="44"/>
      <c r="T283" s="44"/>
      <c r="U283" s="44"/>
      <c r="V283" s="44"/>
      <c r="W283" s="44"/>
      <c r="X283" s="44"/>
      <c r="Y283" s="50"/>
      <c r="Z283" s="50"/>
      <c r="AA283" s="50"/>
      <c r="AB283" s="50"/>
      <c r="AC283" s="50"/>
      <c r="AD283" s="73"/>
      <c r="AE283" s="73"/>
      <c r="AF283" s="73"/>
      <c r="AG283" s="73"/>
      <c r="AH283" s="73"/>
      <c r="AI283" s="73"/>
      <c r="AJ283" s="44"/>
      <c r="AK283" s="44"/>
      <c r="AL283" s="44"/>
      <c r="AM283" s="44"/>
      <c r="AN283" s="44"/>
      <c r="AO283" s="45">
        <f>Table1[[#This Row],[QUY ĐỔI GRAM]]-SUM(Table1[[#This Row],[XK ĐỒNG TÂM]:[XK LSX 8]])</f>
        <v>1000</v>
      </c>
      <c r="AP283" s="51">
        <f>Table1[[#This Row],[CÒN LẠI (gram)]]*Table1[[#This Row],[ĐƠN GIÁ /1 KG]]/1000</f>
        <v>33000000</v>
      </c>
      <c r="AQ283" s="88" t="s">
        <v>218</v>
      </c>
      <c r="AR283" s="20"/>
      <c r="AS283" s="20"/>
      <c r="AT283" s="20"/>
      <c r="AU283" s="20"/>
    </row>
    <row r="284" spans="1:47" ht="25.5" customHeight="1" x14ac:dyDescent="0.35">
      <c r="A284" s="163">
        <v>281</v>
      </c>
      <c r="B284" s="53" t="s">
        <v>572</v>
      </c>
      <c r="C284" s="20"/>
      <c r="D284" s="185" t="s">
        <v>607</v>
      </c>
      <c r="E284" s="15" t="s">
        <v>17</v>
      </c>
      <c r="F284" s="43">
        <v>50</v>
      </c>
      <c r="G284" s="72">
        <v>46087</v>
      </c>
      <c r="H284" s="26">
        <v>22</v>
      </c>
      <c r="I284" s="44">
        <f>Table1[[#This Row],[SỐ LƯỢNG ]]*1000</f>
        <v>50000</v>
      </c>
      <c r="J284" s="44">
        <v>1150000</v>
      </c>
      <c r="K284" s="16">
        <f>Table1[[#This Row],[SỐ LƯỢNG ]]*Table1[[#This Row],[ĐƠN GIÁ /1 KG]]</f>
        <v>57500000</v>
      </c>
      <c r="L284" s="44"/>
      <c r="M284" s="44"/>
      <c r="N284" s="44"/>
      <c r="O284" s="44"/>
      <c r="P284" s="44"/>
      <c r="Q284" s="44"/>
      <c r="R284" s="44"/>
      <c r="S284" s="44"/>
      <c r="T284" s="44"/>
      <c r="U284" s="44"/>
      <c r="V284" s="44"/>
      <c r="W284" s="44"/>
      <c r="X284" s="44"/>
      <c r="Y284" s="50"/>
      <c r="Z284" s="50"/>
      <c r="AA284" s="50"/>
      <c r="AB284" s="50"/>
      <c r="AC284" s="50"/>
      <c r="AD284" s="73"/>
      <c r="AE284" s="73"/>
      <c r="AF284" s="73"/>
      <c r="AG284" s="73"/>
      <c r="AH284" s="73"/>
      <c r="AI284" s="73"/>
      <c r="AJ284" s="44"/>
      <c r="AK284" s="44"/>
      <c r="AL284" s="44"/>
      <c r="AM284" s="44"/>
      <c r="AN284" s="44"/>
      <c r="AO284" s="45">
        <f>Table1[[#This Row],[QUY ĐỔI GRAM]]-SUM(Table1[[#This Row],[XK ĐỒNG TÂM]:[XK LSX 8]])</f>
        <v>50000</v>
      </c>
      <c r="AP284" s="51">
        <f>Table1[[#This Row],[CÒN LẠI (gram)]]*Table1[[#This Row],[ĐƠN GIÁ /1 KG]]/1000</f>
        <v>57500000</v>
      </c>
      <c r="AQ284" s="88" t="s">
        <v>218</v>
      </c>
      <c r="AR284" s="20"/>
      <c r="AS284" s="20"/>
      <c r="AT284" s="20"/>
      <c r="AU284" s="20"/>
    </row>
    <row r="285" spans="1:47" ht="25.5" customHeight="1" x14ac:dyDescent="0.35">
      <c r="A285" s="163">
        <v>282</v>
      </c>
      <c r="B285" s="53" t="s">
        <v>256</v>
      </c>
      <c r="C285" s="20"/>
      <c r="D285" s="48" t="s">
        <v>257</v>
      </c>
      <c r="E285" s="15" t="s">
        <v>17</v>
      </c>
      <c r="F285" s="43">
        <v>8</v>
      </c>
      <c r="G285" s="52">
        <v>46087</v>
      </c>
      <c r="H285" s="26">
        <v>1361</v>
      </c>
      <c r="I285" s="44">
        <f>Table1[[#This Row],[SỐ LƯỢNG ]]*1000</f>
        <v>8000</v>
      </c>
      <c r="J285" s="44">
        <v>68981</v>
      </c>
      <c r="K285" s="16">
        <f>Table1[[#This Row],[SỐ LƯỢNG ]]*Table1[[#This Row],[ĐƠN GIÁ /1 KG]]</f>
        <v>551848</v>
      </c>
      <c r="L285" s="44"/>
      <c r="M285" s="44"/>
      <c r="N285" s="44"/>
      <c r="O285" s="44"/>
      <c r="P285" s="44"/>
      <c r="Q285" s="44"/>
      <c r="R285" s="44"/>
      <c r="S285" s="44"/>
      <c r="T285" s="44"/>
      <c r="U285" s="44"/>
      <c r="V285" s="44"/>
      <c r="W285" s="44"/>
      <c r="X285" s="44"/>
      <c r="Y285" s="50"/>
      <c r="Z285" s="50"/>
      <c r="AA285" s="50"/>
      <c r="AB285" s="50"/>
      <c r="AC285" s="50"/>
      <c r="AD285" s="73"/>
      <c r="AE285" s="73"/>
      <c r="AF285" s="73"/>
      <c r="AG285" s="73"/>
      <c r="AH285" s="73"/>
      <c r="AI285" s="73"/>
      <c r="AJ285" s="44"/>
      <c r="AK285" s="44"/>
      <c r="AL285" s="44"/>
      <c r="AM285" s="44"/>
      <c r="AN285" s="44"/>
      <c r="AO285" s="45">
        <f>Table1[[#This Row],[QUY ĐỔI GRAM]]-SUM(Table1[[#This Row],[XK ĐỒNG TÂM]:[XK LSX 8]])</f>
        <v>8000</v>
      </c>
      <c r="AP285" s="51">
        <f>Table1[[#This Row],[CÒN LẠI (gram)]]*Table1[[#This Row],[ĐƠN GIÁ /1 KG]]/1000</f>
        <v>551848</v>
      </c>
      <c r="AQ285" s="3" t="s">
        <v>275</v>
      </c>
      <c r="AR285" s="20"/>
      <c r="AS285" s="20"/>
      <c r="AT285" s="20"/>
      <c r="AU285" s="20"/>
    </row>
    <row r="286" spans="1:47" ht="24" customHeight="1" x14ac:dyDescent="0.35">
      <c r="A286" s="163">
        <v>283</v>
      </c>
      <c r="B286" s="53" t="s">
        <v>573</v>
      </c>
      <c r="C286" s="20"/>
      <c r="D286" s="185" t="s">
        <v>87</v>
      </c>
      <c r="E286" s="15" t="s">
        <v>17</v>
      </c>
      <c r="F286" s="43">
        <v>12</v>
      </c>
      <c r="G286" s="52">
        <v>46087</v>
      </c>
      <c r="H286" s="26">
        <v>1361</v>
      </c>
      <c r="I286" s="44">
        <f>Table1[[#This Row],[SỐ LƯỢNG ]]*1000</f>
        <v>12000</v>
      </c>
      <c r="J286" s="44">
        <v>257000</v>
      </c>
      <c r="K286" s="16">
        <f>Table1[[#This Row],[SỐ LƯỢNG ]]*Table1[[#This Row],[ĐƠN GIÁ /1 KG]]</f>
        <v>3084000</v>
      </c>
      <c r="L286" s="44"/>
      <c r="M286" s="44"/>
      <c r="N286" s="44"/>
      <c r="O286" s="44"/>
      <c r="P286" s="44"/>
      <c r="Q286" s="44"/>
      <c r="R286" s="44"/>
      <c r="S286" s="44"/>
      <c r="T286" s="44"/>
      <c r="U286" s="44"/>
      <c r="V286" s="44"/>
      <c r="W286" s="44"/>
      <c r="X286" s="44"/>
      <c r="Y286" s="50"/>
      <c r="Z286" s="50"/>
      <c r="AA286" s="50"/>
      <c r="AB286" s="50"/>
      <c r="AC286" s="50"/>
      <c r="AD286" s="73"/>
      <c r="AE286" s="73"/>
      <c r="AF286" s="73"/>
      <c r="AG286" s="73"/>
      <c r="AH286" s="73"/>
      <c r="AI286" s="73"/>
      <c r="AJ286" s="44"/>
      <c r="AK286" s="44"/>
      <c r="AL286" s="44"/>
      <c r="AM286" s="44"/>
      <c r="AN286" s="44"/>
      <c r="AO286" s="45">
        <f>Table1[[#This Row],[QUY ĐỔI GRAM]]-SUM(Table1[[#This Row],[XK ĐỒNG TÂM]:[XK LSX 8]])</f>
        <v>12000</v>
      </c>
      <c r="AP286" s="51">
        <f>Table1[[#This Row],[CÒN LẠI (gram)]]*Table1[[#This Row],[ĐƠN GIÁ /1 KG]]/1000</f>
        <v>3084000</v>
      </c>
      <c r="AQ286" s="3" t="s">
        <v>275</v>
      </c>
      <c r="AR286" s="20"/>
      <c r="AS286" s="20"/>
      <c r="AT286" s="20"/>
      <c r="AU286" s="20"/>
    </row>
    <row r="287" spans="1:47" ht="24" customHeight="1" x14ac:dyDescent="0.35">
      <c r="A287" s="163">
        <v>284</v>
      </c>
      <c r="B287" s="53" t="s">
        <v>577</v>
      </c>
      <c r="C287" s="20"/>
      <c r="D287" s="8" t="s">
        <v>72</v>
      </c>
      <c r="E287" s="15" t="s">
        <v>17</v>
      </c>
      <c r="F287" s="43">
        <v>117</v>
      </c>
      <c r="G287" s="52">
        <v>46087</v>
      </c>
      <c r="H287" s="26">
        <v>1361</v>
      </c>
      <c r="I287" s="44">
        <f>Table1[[#This Row],[SỐ LƯỢNG ]]*1000</f>
        <v>117000</v>
      </c>
      <c r="J287" s="44">
        <v>34000</v>
      </c>
      <c r="K287" s="16">
        <f>Table1[[#This Row],[SỐ LƯỢNG ]]*Table1[[#This Row],[ĐƠN GIÁ /1 KG]]</f>
        <v>3978000</v>
      </c>
      <c r="L287" s="44"/>
      <c r="M287" s="44"/>
      <c r="N287" s="44"/>
      <c r="O287" s="44"/>
      <c r="P287" s="44"/>
      <c r="Q287" s="44"/>
      <c r="R287" s="44"/>
      <c r="S287" s="44"/>
      <c r="T287" s="44"/>
      <c r="U287" s="44"/>
      <c r="V287" s="44"/>
      <c r="W287" s="44"/>
      <c r="X287" s="44"/>
      <c r="Y287" s="50"/>
      <c r="Z287" s="50"/>
      <c r="AA287" s="50"/>
      <c r="AB287" s="50"/>
      <c r="AC287" s="50"/>
      <c r="AD287" s="73"/>
      <c r="AE287" s="73"/>
      <c r="AF287" s="73"/>
      <c r="AG287" s="73"/>
      <c r="AH287" s="73"/>
      <c r="AI287" s="73"/>
      <c r="AJ287" s="44"/>
      <c r="AK287" s="44"/>
      <c r="AL287" s="44"/>
      <c r="AM287" s="44"/>
      <c r="AN287" s="44"/>
      <c r="AO287" s="45">
        <f>Table1[[#This Row],[QUY ĐỔI GRAM]]-SUM(Table1[[#This Row],[XK ĐỒNG TÂM]:[XK LSX 8]])</f>
        <v>117000</v>
      </c>
      <c r="AP287" s="51">
        <f>Table1[[#This Row],[CÒN LẠI (gram)]]*Table1[[#This Row],[ĐƠN GIÁ /1 KG]]/1000</f>
        <v>3978000</v>
      </c>
      <c r="AQ287" s="3" t="s">
        <v>275</v>
      </c>
      <c r="AR287" s="20"/>
      <c r="AS287" s="20"/>
      <c r="AT287" s="20"/>
      <c r="AU287" s="20"/>
    </row>
    <row r="288" spans="1:47" ht="24" customHeight="1" x14ac:dyDescent="0.35">
      <c r="A288" s="163">
        <v>285</v>
      </c>
      <c r="B288" s="53" t="s">
        <v>574</v>
      </c>
      <c r="C288" s="20"/>
      <c r="D288" s="185" t="s">
        <v>606</v>
      </c>
      <c r="E288" s="15" t="s">
        <v>17</v>
      </c>
      <c r="F288" s="43">
        <v>20</v>
      </c>
      <c r="G288" s="52">
        <v>46087</v>
      </c>
      <c r="H288" s="26">
        <v>1361</v>
      </c>
      <c r="I288" s="44">
        <f>Table1[[#This Row],[SỐ LƯỢNG ]]*1000</f>
        <v>20000</v>
      </c>
      <c r="J288" s="44">
        <v>104630</v>
      </c>
      <c r="K288" s="16">
        <f>Table1[[#This Row],[SỐ LƯỢNG ]]*Table1[[#This Row],[ĐƠN GIÁ /1 KG]]</f>
        <v>2092600</v>
      </c>
      <c r="L288" s="44"/>
      <c r="M288" s="44"/>
      <c r="N288" s="44"/>
      <c r="O288" s="44"/>
      <c r="P288" s="44"/>
      <c r="Q288" s="44"/>
      <c r="R288" s="44"/>
      <c r="S288" s="44"/>
      <c r="T288" s="44"/>
      <c r="U288" s="44"/>
      <c r="V288" s="44"/>
      <c r="W288" s="44"/>
      <c r="X288" s="44"/>
      <c r="Y288" s="50"/>
      <c r="Z288" s="50"/>
      <c r="AA288" s="50"/>
      <c r="AB288" s="50"/>
      <c r="AC288" s="50"/>
      <c r="AD288" s="73"/>
      <c r="AE288" s="73"/>
      <c r="AF288" s="73"/>
      <c r="AG288" s="73"/>
      <c r="AH288" s="73"/>
      <c r="AI288" s="73"/>
      <c r="AJ288" s="44"/>
      <c r="AK288" s="44"/>
      <c r="AL288" s="44"/>
      <c r="AM288" s="44"/>
      <c r="AN288" s="44"/>
      <c r="AO288" s="45">
        <f>Table1[[#This Row],[QUY ĐỔI GRAM]]-SUM(Table1[[#This Row],[XK ĐỒNG TÂM]:[XK LSX 8]])</f>
        <v>20000</v>
      </c>
      <c r="AP288" s="51">
        <f>Table1[[#This Row],[CÒN LẠI (gram)]]*Table1[[#This Row],[ĐƠN GIÁ /1 KG]]/1000</f>
        <v>2092600</v>
      </c>
      <c r="AQ288" s="3" t="s">
        <v>275</v>
      </c>
      <c r="AR288" s="20"/>
      <c r="AS288" s="20"/>
      <c r="AT288" s="20"/>
      <c r="AU288" s="20"/>
    </row>
    <row r="289" spans="1:47" ht="24" customHeight="1" x14ac:dyDescent="0.35">
      <c r="A289" s="163">
        <v>286</v>
      </c>
      <c r="B289" s="53" t="s">
        <v>323</v>
      </c>
      <c r="C289" s="20" t="s">
        <v>324</v>
      </c>
      <c r="D289" s="13" t="s">
        <v>315</v>
      </c>
      <c r="E289" s="15" t="s">
        <v>17</v>
      </c>
      <c r="F289" s="43">
        <v>5</v>
      </c>
      <c r="G289" s="52">
        <v>46087</v>
      </c>
      <c r="H289" s="26">
        <v>1361</v>
      </c>
      <c r="I289" s="44">
        <f>Table1[[#This Row],[SỐ LƯỢNG ]]*1000</f>
        <v>5000</v>
      </c>
      <c r="J289" s="44">
        <v>94500</v>
      </c>
      <c r="K289" s="16">
        <f>Table1[[#This Row],[SỐ LƯỢNG ]]*Table1[[#This Row],[ĐƠN GIÁ /1 KG]]</f>
        <v>472500</v>
      </c>
      <c r="L289" s="44"/>
      <c r="M289" s="44"/>
      <c r="N289" s="44"/>
      <c r="O289" s="44"/>
      <c r="P289" s="44"/>
      <c r="Q289" s="44"/>
      <c r="R289" s="44"/>
      <c r="S289" s="44"/>
      <c r="T289" s="44"/>
      <c r="U289" s="44"/>
      <c r="V289" s="44"/>
      <c r="W289" s="44"/>
      <c r="X289" s="44"/>
      <c r="Y289" s="50"/>
      <c r="Z289" s="50"/>
      <c r="AA289" s="50"/>
      <c r="AB289" s="50"/>
      <c r="AC289" s="50"/>
      <c r="AD289" s="73"/>
      <c r="AE289" s="73"/>
      <c r="AF289" s="73"/>
      <c r="AG289" s="73"/>
      <c r="AH289" s="73"/>
      <c r="AI289" s="73"/>
      <c r="AJ289" s="44"/>
      <c r="AK289" s="44"/>
      <c r="AL289" s="44"/>
      <c r="AM289" s="44"/>
      <c r="AN289" s="44"/>
      <c r="AO289" s="45">
        <f>Table1[[#This Row],[QUY ĐỔI GRAM]]-SUM(Table1[[#This Row],[XK ĐỒNG TÂM]:[XK LSX 8]])</f>
        <v>5000</v>
      </c>
      <c r="AP289" s="51">
        <f>Table1[[#This Row],[CÒN LẠI (gram)]]*Table1[[#This Row],[ĐƠN GIÁ /1 KG]]/1000</f>
        <v>472500</v>
      </c>
      <c r="AQ289" s="3" t="s">
        <v>275</v>
      </c>
      <c r="AR289" s="20"/>
      <c r="AS289" s="20"/>
      <c r="AT289" s="20"/>
      <c r="AU289" s="20"/>
    </row>
    <row r="290" spans="1:47" ht="24" customHeight="1" x14ac:dyDescent="0.35">
      <c r="A290" s="163">
        <v>287</v>
      </c>
      <c r="B290" s="53" t="s">
        <v>160</v>
      </c>
      <c r="C290" s="20"/>
      <c r="D290" s="48" t="s">
        <v>190</v>
      </c>
      <c r="E290" s="15" t="s">
        <v>17</v>
      </c>
      <c r="F290" s="43">
        <v>202</v>
      </c>
      <c r="G290" s="52">
        <v>46087</v>
      </c>
      <c r="H290" s="26">
        <v>1361</v>
      </c>
      <c r="I290" s="44">
        <f>Table1[[#This Row],[SỐ LƯỢNG ]]*1000</f>
        <v>202000</v>
      </c>
      <c r="J290" s="44">
        <v>34100</v>
      </c>
      <c r="K290" s="16">
        <f>Table1[[#This Row],[SỐ LƯỢNG ]]*Table1[[#This Row],[ĐƠN GIÁ /1 KG]]</f>
        <v>6888200</v>
      </c>
      <c r="L290" s="44"/>
      <c r="M290" s="44"/>
      <c r="N290" s="44"/>
      <c r="O290" s="44"/>
      <c r="P290" s="44"/>
      <c r="Q290" s="44"/>
      <c r="R290" s="44"/>
      <c r="S290" s="44"/>
      <c r="T290" s="44"/>
      <c r="U290" s="44"/>
      <c r="V290" s="44"/>
      <c r="W290" s="44"/>
      <c r="X290" s="44"/>
      <c r="Y290" s="50"/>
      <c r="Z290" s="50"/>
      <c r="AA290" s="50"/>
      <c r="AB290" s="50"/>
      <c r="AC290" s="50"/>
      <c r="AD290" s="73"/>
      <c r="AE290" s="73"/>
      <c r="AF290" s="73"/>
      <c r="AG290" s="73"/>
      <c r="AH290" s="73"/>
      <c r="AI290" s="73"/>
      <c r="AJ290" s="44"/>
      <c r="AK290" s="44"/>
      <c r="AL290" s="44"/>
      <c r="AM290" s="44"/>
      <c r="AN290" s="44"/>
      <c r="AO290" s="45">
        <f>Table1[[#This Row],[QUY ĐỔI GRAM]]-SUM(Table1[[#This Row],[XK ĐỒNG TÂM]:[XK LSX 8]])</f>
        <v>202000</v>
      </c>
      <c r="AP290" s="51">
        <f>Table1[[#This Row],[CÒN LẠI (gram)]]*Table1[[#This Row],[ĐƠN GIÁ /1 KG]]/1000</f>
        <v>6888200</v>
      </c>
      <c r="AQ290" s="3" t="s">
        <v>275</v>
      </c>
      <c r="AR290" s="20"/>
      <c r="AS290" s="20"/>
      <c r="AT290" s="20"/>
      <c r="AU290" s="20"/>
    </row>
    <row r="291" spans="1:47" ht="24" customHeight="1" x14ac:dyDescent="0.35">
      <c r="A291" s="163">
        <v>288</v>
      </c>
      <c r="B291" s="53" t="s">
        <v>575</v>
      </c>
      <c r="C291" s="20"/>
      <c r="D291" s="185" t="s">
        <v>605</v>
      </c>
      <c r="E291" s="15" t="s">
        <v>17</v>
      </c>
      <c r="F291" s="43">
        <v>1</v>
      </c>
      <c r="G291" s="52">
        <v>46087</v>
      </c>
      <c r="H291" s="26">
        <v>1361</v>
      </c>
      <c r="I291" s="44">
        <f>Table1[[#This Row],[SỐ LƯỢNG ]]*1000</f>
        <v>1000</v>
      </c>
      <c r="J291" s="44">
        <v>150000</v>
      </c>
      <c r="K291" s="16">
        <f>Table1[[#This Row],[SỐ LƯỢNG ]]*Table1[[#This Row],[ĐƠN GIÁ /1 KG]]</f>
        <v>150000</v>
      </c>
      <c r="L291" s="44"/>
      <c r="M291" s="44"/>
      <c r="N291" s="44"/>
      <c r="O291" s="44"/>
      <c r="P291" s="44"/>
      <c r="Q291" s="44"/>
      <c r="R291" s="44"/>
      <c r="S291" s="44"/>
      <c r="T291" s="44"/>
      <c r="U291" s="44"/>
      <c r="V291" s="44"/>
      <c r="W291" s="44"/>
      <c r="X291" s="44"/>
      <c r="Y291" s="50"/>
      <c r="Z291" s="50"/>
      <c r="AA291" s="50"/>
      <c r="AB291" s="50"/>
      <c r="AC291" s="50"/>
      <c r="AD291" s="73"/>
      <c r="AE291" s="73"/>
      <c r="AF291" s="73"/>
      <c r="AG291" s="73"/>
      <c r="AH291" s="73"/>
      <c r="AI291" s="73"/>
      <c r="AJ291" s="44"/>
      <c r="AK291" s="44"/>
      <c r="AL291" s="44"/>
      <c r="AM291" s="44"/>
      <c r="AN291" s="44"/>
      <c r="AO291" s="45">
        <f>Table1[[#This Row],[QUY ĐỔI GRAM]]-SUM(Table1[[#This Row],[XK ĐỒNG TÂM]:[XK LSX 8]])</f>
        <v>1000</v>
      </c>
      <c r="AP291" s="51">
        <f>Table1[[#This Row],[CÒN LẠI (gram)]]*Table1[[#This Row],[ĐƠN GIÁ /1 KG]]/1000</f>
        <v>150000</v>
      </c>
      <c r="AQ291" s="3" t="s">
        <v>275</v>
      </c>
      <c r="AR291" s="20"/>
      <c r="AS291" s="20"/>
      <c r="AT291" s="20"/>
      <c r="AU291" s="20"/>
    </row>
    <row r="292" spans="1:47" ht="24" customHeight="1" x14ac:dyDescent="0.35">
      <c r="A292" s="163">
        <v>289</v>
      </c>
      <c r="B292" s="53" t="s">
        <v>576</v>
      </c>
      <c r="C292" s="20"/>
      <c r="D292" s="185" t="s">
        <v>326</v>
      </c>
      <c r="E292" s="15" t="s">
        <v>17</v>
      </c>
      <c r="F292" s="43">
        <v>115</v>
      </c>
      <c r="G292" s="52">
        <v>46087</v>
      </c>
      <c r="H292" s="26">
        <v>1361</v>
      </c>
      <c r="I292" s="44">
        <f>Table1[[#This Row],[SỐ LƯỢNG ]]*1000</f>
        <v>115000</v>
      </c>
      <c r="J292" s="44">
        <v>39000</v>
      </c>
      <c r="K292" s="16">
        <f>Table1[[#This Row],[SỐ LƯỢNG ]]*Table1[[#This Row],[ĐƠN GIÁ /1 KG]]</f>
        <v>4485000</v>
      </c>
      <c r="L292" s="44"/>
      <c r="M292" s="44"/>
      <c r="N292" s="44"/>
      <c r="O292" s="44"/>
      <c r="P292" s="44"/>
      <c r="Q292" s="44"/>
      <c r="R292" s="44"/>
      <c r="S292" s="44"/>
      <c r="T292" s="44"/>
      <c r="U292" s="44"/>
      <c r="V292" s="44"/>
      <c r="W292" s="44"/>
      <c r="X292" s="44"/>
      <c r="Y292" s="50"/>
      <c r="Z292" s="50"/>
      <c r="AA292" s="50"/>
      <c r="AB292" s="50"/>
      <c r="AC292" s="50"/>
      <c r="AD292" s="73"/>
      <c r="AE292" s="73"/>
      <c r="AF292" s="73"/>
      <c r="AG292" s="73"/>
      <c r="AH292" s="73"/>
      <c r="AI292" s="73"/>
      <c r="AJ292" s="44"/>
      <c r="AK292" s="44"/>
      <c r="AL292" s="44"/>
      <c r="AM292" s="44"/>
      <c r="AN292" s="44"/>
      <c r="AO292" s="45">
        <f>Table1[[#This Row],[QUY ĐỔI GRAM]]-SUM(Table1[[#This Row],[XK ĐỒNG TÂM]:[XK LSX 8]])</f>
        <v>115000</v>
      </c>
      <c r="AP292" s="51">
        <f>Table1[[#This Row],[CÒN LẠI (gram)]]*Table1[[#This Row],[ĐƠN GIÁ /1 KG]]/1000</f>
        <v>4485000</v>
      </c>
      <c r="AQ292" s="3" t="s">
        <v>275</v>
      </c>
      <c r="AR292" s="20"/>
      <c r="AS292" s="20"/>
      <c r="AT292" s="20"/>
      <c r="AU292" s="20"/>
    </row>
    <row r="293" spans="1:47" ht="24" customHeight="1" x14ac:dyDescent="0.35">
      <c r="A293" s="163">
        <v>290</v>
      </c>
      <c r="B293" s="53" t="s">
        <v>578</v>
      </c>
      <c r="C293" s="20"/>
      <c r="D293" s="185" t="s">
        <v>604</v>
      </c>
      <c r="E293" s="15" t="s">
        <v>17</v>
      </c>
      <c r="F293" s="43">
        <v>3</v>
      </c>
      <c r="G293" s="52">
        <v>46087</v>
      </c>
      <c r="H293" s="26">
        <v>1361</v>
      </c>
      <c r="I293" s="44">
        <f>Table1[[#This Row],[SỐ LƯỢNG ]]*1000</f>
        <v>3000</v>
      </c>
      <c r="J293" s="44">
        <v>71500</v>
      </c>
      <c r="K293" s="16">
        <f>Table1[[#This Row],[SỐ LƯỢNG ]]*Table1[[#This Row],[ĐƠN GIÁ /1 KG]]</f>
        <v>214500</v>
      </c>
      <c r="L293" s="44"/>
      <c r="M293" s="44"/>
      <c r="N293" s="44"/>
      <c r="O293" s="44"/>
      <c r="P293" s="44"/>
      <c r="Q293" s="44"/>
      <c r="R293" s="44"/>
      <c r="S293" s="44"/>
      <c r="T293" s="44"/>
      <c r="U293" s="44"/>
      <c r="V293" s="44"/>
      <c r="W293" s="44"/>
      <c r="X293" s="44"/>
      <c r="Y293" s="50"/>
      <c r="Z293" s="50"/>
      <c r="AA293" s="50"/>
      <c r="AB293" s="50"/>
      <c r="AC293" s="50"/>
      <c r="AD293" s="73"/>
      <c r="AE293" s="73"/>
      <c r="AF293" s="73"/>
      <c r="AG293" s="73"/>
      <c r="AH293" s="73"/>
      <c r="AI293" s="73"/>
      <c r="AJ293" s="44"/>
      <c r="AK293" s="44"/>
      <c r="AL293" s="44"/>
      <c r="AM293" s="44"/>
      <c r="AN293" s="44"/>
      <c r="AO293" s="45">
        <f>Table1[[#This Row],[QUY ĐỔI GRAM]]-SUM(Table1[[#This Row],[XK ĐỒNG TÂM]:[XK LSX 8]])</f>
        <v>3000</v>
      </c>
      <c r="AP293" s="51">
        <f>Table1[[#This Row],[CÒN LẠI (gram)]]*Table1[[#This Row],[ĐƠN GIÁ /1 KG]]/1000</f>
        <v>214500</v>
      </c>
      <c r="AQ293" s="3" t="s">
        <v>275</v>
      </c>
      <c r="AR293" s="20"/>
      <c r="AS293" s="20"/>
      <c r="AT293" s="20"/>
      <c r="AU293" s="20"/>
    </row>
    <row r="294" spans="1:47" ht="24" customHeight="1" x14ac:dyDescent="0.35">
      <c r="A294" s="163">
        <v>291</v>
      </c>
      <c r="B294" s="53" t="s">
        <v>579</v>
      </c>
      <c r="C294" s="20"/>
      <c r="D294" s="185" t="s">
        <v>603</v>
      </c>
      <c r="E294" s="15" t="s">
        <v>17</v>
      </c>
      <c r="F294" s="43">
        <v>8</v>
      </c>
      <c r="G294" s="52">
        <v>46087</v>
      </c>
      <c r="H294" s="26">
        <v>1361</v>
      </c>
      <c r="I294" s="44">
        <f>Table1[[#This Row],[SỐ LƯỢNG ]]*1000</f>
        <v>8000</v>
      </c>
      <c r="J294" s="44">
        <v>32000</v>
      </c>
      <c r="K294" s="16">
        <f>Table1[[#This Row],[SỐ LƯỢNG ]]*Table1[[#This Row],[ĐƠN GIÁ /1 KG]]</f>
        <v>256000</v>
      </c>
      <c r="L294" s="44"/>
      <c r="M294" s="44"/>
      <c r="N294" s="44"/>
      <c r="O294" s="44"/>
      <c r="P294" s="44"/>
      <c r="Q294" s="44"/>
      <c r="R294" s="44"/>
      <c r="S294" s="44"/>
      <c r="T294" s="44"/>
      <c r="U294" s="44"/>
      <c r="V294" s="44"/>
      <c r="W294" s="44"/>
      <c r="X294" s="44"/>
      <c r="Y294" s="50"/>
      <c r="Z294" s="50"/>
      <c r="AA294" s="50"/>
      <c r="AB294" s="50"/>
      <c r="AC294" s="50"/>
      <c r="AD294" s="73"/>
      <c r="AE294" s="73"/>
      <c r="AF294" s="73"/>
      <c r="AG294" s="73"/>
      <c r="AH294" s="73"/>
      <c r="AI294" s="73"/>
      <c r="AJ294" s="44"/>
      <c r="AK294" s="44"/>
      <c r="AL294" s="44"/>
      <c r="AM294" s="44"/>
      <c r="AN294" s="44"/>
      <c r="AO294" s="45">
        <f>Table1[[#This Row],[QUY ĐỔI GRAM]]-SUM(Table1[[#This Row],[XK ĐỒNG TÂM]:[XK LSX 8]])</f>
        <v>8000</v>
      </c>
      <c r="AP294" s="51">
        <f>Table1[[#This Row],[CÒN LẠI (gram)]]*Table1[[#This Row],[ĐƠN GIÁ /1 KG]]/1000</f>
        <v>256000</v>
      </c>
      <c r="AQ294" s="3" t="s">
        <v>275</v>
      </c>
      <c r="AR294" s="20"/>
      <c r="AS294" s="20"/>
      <c r="AT294" s="20"/>
      <c r="AU294" s="20"/>
    </row>
    <row r="295" spans="1:47" ht="24" customHeight="1" x14ac:dyDescent="0.35">
      <c r="A295" s="163">
        <v>292</v>
      </c>
      <c r="B295" s="53" t="s">
        <v>580</v>
      </c>
      <c r="C295" s="20"/>
      <c r="D295" s="8" t="s">
        <v>416</v>
      </c>
      <c r="E295" s="15" t="s">
        <v>17</v>
      </c>
      <c r="F295" s="43">
        <v>53</v>
      </c>
      <c r="G295" s="52">
        <v>46087</v>
      </c>
      <c r="H295" s="26">
        <v>1361</v>
      </c>
      <c r="I295" s="44">
        <f>Table1[[#This Row],[SỐ LƯỢNG ]]*1000</f>
        <v>53000</v>
      </c>
      <c r="J295" s="44">
        <v>584259</v>
      </c>
      <c r="K295" s="16">
        <f>Table1[[#This Row],[SỐ LƯỢNG ]]*Table1[[#This Row],[ĐƠN GIÁ /1 KG]]</f>
        <v>30965727</v>
      </c>
      <c r="L295" s="44"/>
      <c r="M295" s="44"/>
      <c r="N295" s="44"/>
      <c r="O295" s="44"/>
      <c r="P295" s="44"/>
      <c r="Q295" s="44"/>
      <c r="R295" s="44"/>
      <c r="S295" s="44"/>
      <c r="T295" s="44"/>
      <c r="U295" s="44"/>
      <c r="V295" s="44"/>
      <c r="W295" s="44"/>
      <c r="X295" s="44"/>
      <c r="Y295" s="50"/>
      <c r="Z295" s="50"/>
      <c r="AA295" s="50"/>
      <c r="AB295" s="50"/>
      <c r="AC295" s="50"/>
      <c r="AD295" s="73"/>
      <c r="AE295" s="73"/>
      <c r="AF295" s="73"/>
      <c r="AG295" s="73"/>
      <c r="AH295" s="73"/>
      <c r="AI295" s="73"/>
      <c r="AJ295" s="44"/>
      <c r="AK295" s="44"/>
      <c r="AL295" s="44"/>
      <c r="AM295" s="44"/>
      <c r="AN295" s="44"/>
      <c r="AO295" s="45">
        <f>Table1[[#This Row],[QUY ĐỔI GRAM]]-SUM(Table1[[#This Row],[XK ĐỒNG TÂM]:[XK LSX 8]])</f>
        <v>53000</v>
      </c>
      <c r="AP295" s="51">
        <f>Table1[[#This Row],[CÒN LẠI (gram)]]*Table1[[#This Row],[ĐƠN GIÁ /1 KG]]/1000</f>
        <v>30965727</v>
      </c>
      <c r="AQ295" s="3" t="s">
        <v>275</v>
      </c>
      <c r="AR295" s="20"/>
      <c r="AS295" s="20"/>
      <c r="AT295" s="20"/>
      <c r="AU295" s="20"/>
    </row>
    <row r="296" spans="1:47" ht="24" customHeight="1" x14ac:dyDescent="0.35">
      <c r="A296" s="163">
        <v>293</v>
      </c>
      <c r="B296" s="53" t="s">
        <v>581</v>
      </c>
      <c r="C296" s="3" t="s">
        <v>60</v>
      </c>
      <c r="D296" s="8" t="s">
        <v>59</v>
      </c>
      <c r="E296" s="15" t="s">
        <v>17</v>
      </c>
      <c r="F296" s="43">
        <v>45</v>
      </c>
      <c r="G296" s="52">
        <v>46087</v>
      </c>
      <c r="H296" s="26">
        <v>1361</v>
      </c>
      <c r="I296" s="44">
        <f>Table1[[#This Row],[SỐ LƯỢNG ]]*1000</f>
        <v>45000</v>
      </c>
      <c r="J296" s="44">
        <v>430556</v>
      </c>
      <c r="K296" s="16">
        <f>Table1[[#This Row],[SỐ LƯỢNG ]]*Table1[[#This Row],[ĐƠN GIÁ /1 KG]]</f>
        <v>19375020</v>
      </c>
      <c r="L296" s="44"/>
      <c r="M296" s="44"/>
      <c r="N296" s="44"/>
      <c r="O296" s="44"/>
      <c r="P296" s="44"/>
      <c r="Q296" s="44"/>
      <c r="R296" s="44"/>
      <c r="S296" s="44"/>
      <c r="T296" s="44"/>
      <c r="U296" s="44"/>
      <c r="V296" s="44"/>
      <c r="W296" s="44"/>
      <c r="X296" s="44"/>
      <c r="Y296" s="50"/>
      <c r="Z296" s="50"/>
      <c r="AA296" s="50"/>
      <c r="AB296" s="50"/>
      <c r="AC296" s="50"/>
      <c r="AD296" s="73"/>
      <c r="AE296" s="73"/>
      <c r="AF296" s="73"/>
      <c r="AG296" s="73"/>
      <c r="AH296" s="73"/>
      <c r="AI296" s="73"/>
      <c r="AJ296" s="44"/>
      <c r="AK296" s="44"/>
      <c r="AL296" s="44"/>
      <c r="AM296" s="44"/>
      <c r="AN296" s="44"/>
      <c r="AO296" s="45">
        <f>Table1[[#This Row],[QUY ĐỔI GRAM]]-SUM(Table1[[#This Row],[XK ĐỒNG TÂM]:[XK LSX 8]])</f>
        <v>45000</v>
      </c>
      <c r="AP296" s="51">
        <f>Table1[[#This Row],[CÒN LẠI (gram)]]*Table1[[#This Row],[ĐƠN GIÁ /1 KG]]/1000</f>
        <v>19375020</v>
      </c>
      <c r="AQ296" s="3" t="s">
        <v>275</v>
      </c>
      <c r="AR296" s="20"/>
      <c r="AS296" s="20"/>
      <c r="AT296" s="20"/>
      <c r="AU296" s="20"/>
    </row>
    <row r="297" spans="1:47" ht="24" customHeight="1" x14ac:dyDescent="0.35">
      <c r="A297" s="163">
        <v>294</v>
      </c>
      <c r="B297" s="53" t="s">
        <v>582</v>
      </c>
      <c r="C297" s="86"/>
      <c r="D297" s="185" t="s">
        <v>602</v>
      </c>
      <c r="E297" s="15" t="s">
        <v>17</v>
      </c>
      <c r="F297" s="43">
        <v>1</v>
      </c>
      <c r="G297" s="52">
        <v>46087</v>
      </c>
      <c r="H297" s="26">
        <v>1361</v>
      </c>
      <c r="I297" s="44">
        <f>Table1[[#This Row],[SỐ LƯỢNG ]]*1000</f>
        <v>1000</v>
      </c>
      <c r="J297" s="44">
        <v>752000</v>
      </c>
      <c r="K297" s="16">
        <f>Table1[[#This Row],[SỐ LƯỢNG ]]*Table1[[#This Row],[ĐƠN GIÁ /1 KG]]</f>
        <v>752000</v>
      </c>
      <c r="L297" s="44"/>
      <c r="M297" s="44"/>
      <c r="N297" s="44"/>
      <c r="O297" s="44"/>
      <c r="P297" s="44"/>
      <c r="Q297" s="44"/>
      <c r="R297" s="44"/>
      <c r="S297" s="44"/>
      <c r="T297" s="44"/>
      <c r="U297" s="44"/>
      <c r="V297" s="44"/>
      <c r="W297" s="44"/>
      <c r="X297" s="44"/>
      <c r="Y297" s="50"/>
      <c r="Z297" s="50"/>
      <c r="AA297" s="50"/>
      <c r="AB297" s="50"/>
      <c r="AC297" s="50"/>
      <c r="AD297" s="73"/>
      <c r="AE297" s="73"/>
      <c r="AF297" s="73"/>
      <c r="AG297" s="73"/>
      <c r="AH297" s="73"/>
      <c r="AI297" s="73"/>
      <c r="AJ297" s="44"/>
      <c r="AK297" s="44"/>
      <c r="AL297" s="44"/>
      <c r="AM297" s="44"/>
      <c r="AN297" s="44"/>
      <c r="AO297" s="45">
        <f>Table1[[#This Row],[QUY ĐỔI GRAM]]-SUM(Table1[[#This Row],[XK ĐỒNG TÂM]:[XK LSX 8]])</f>
        <v>1000</v>
      </c>
      <c r="AP297" s="51">
        <f>Table1[[#This Row],[CÒN LẠI (gram)]]*Table1[[#This Row],[ĐƠN GIÁ /1 KG]]/1000</f>
        <v>752000</v>
      </c>
      <c r="AQ297" s="3" t="s">
        <v>275</v>
      </c>
      <c r="AR297" s="20"/>
      <c r="AS297" s="20"/>
      <c r="AT297" s="20"/>
      <c r="AU297" s="20"/>
    </row>
    <row r="298" spans="1:47" ht="24" customHeight="1" x14ac:dyDescent="0.35">
      <c r="A298" s="163">
        <v>295</v>
      </c>
      <c r="B298" s="53" t="s">
        <v>583</v>
      </c>
      <c r="C298" s="20"/>
      <c r="D298" s="185" t="s">
        <v>601</v>
      </c>
      <c r="E298" s="15" t="s">
        <v>17</v>
      </c>
      <c r="F298" s="43">
        <v>1</v>
      </c>
      <c r="G298" s="52">
        <v>46087</v>
      </c>
      <c r="H298" s="26">
        <v>1361</v>
      </c>
      <c r="I298" s="44">
        <f>Table1[[#This Row],[SỐ LƯỢNG ]]*1000</f>
        <v>1000</v>
      </c>
      <c r="J298" s="44">
        <v>988000</v>
      </c>
      <c r="K298" s="16">
        <f>Table1[[#This Row],[SỐ LƯỢNG ]]*Table1[[#This Row],[ĐƠN GIÁ /1 KG]]</f>
        <v>988000</v>
      </c>
      <c r="L298" s="44"/>
      <c r="M298" s="44"/>
      <c r="N298" s="44"/>
      <c r="O298" s="44"/>
      <c r="P298" s="44"/>
      <c r="Q298" s="44"/>
      <c r="R298" s="44"/>
      <c r="S298" s="44"/>
      <c r="T298" s="44"/>
      <c r="U298" s="44"/>
      <c r="V298" s="44"/>
      <c r="W298" s="44"/>
      <c r="X298" s="44"/>
      <c r="Y298" s="50"/>
      <c r="Z298" s="50"/>
      <c r="AA298" s="50"/>
      <c r="AB298" s="50"/>
      <c r="AC298" s="50"/>
      <c r="AD298" s="73"/>
      <c r="AE298" s="73"/>
      <c r="AF298" s="73"/>
      <c r="AG298" s="73"/>
      <c r="AH298" s="73"/>
      <c r="AI298" s="73"/>
      <c r="AJ298" s="44"/>
      <c r="AK298" s="44"/>
      <c r="AL298" s="44"/>
      <c r="AM298" s="44"/>
      <c r="AN298" s="44"/>
      <c r="AO298" s="45">
        <f>Table1[[#This Row],[QUY ĐỔI GRAM]]-SUM(Table1[[#This Row],[XK ĐỒNG TÂM]:[XK LSX 8]])</f>
        <v>1000</v>
      </c>
      <c r="AP298" s="51">
        <f>Table1[[#This Row],[CÒN LẠI (gram)]]*Table1[[#This Row],[ĐƠN GIÁ /1 KG]]/1000</f>
        <v>988000</v>
      </c>
      <c r="AQ298" s="3" t="s">
        <v>275</v>
      </c>
      <c r="AR298" s="20"/>
      <c r="AS298" s="20"/>
      <c r="AT298" s="20"/>
      <c r="AU298" s="20"/>
    </row>
    <row r="299" spans="1:47" ht="24.75" customHeight="1" x14ac:dyDescent="0.35">
      <c r="A299" s="163">
        <v>296</v>
      </c>
      <c r="B299" s="53" t="s">
        <v>448</v>
      </c>
      <c r="C299" s="20"/>
      <c r="D299" s="101" t="s">
        <v>451</v>
      </c>
      <c r="E299" s="15" t="s">
        <v>17</v>
      </c>
      <c r="F299" s="43">
        <v>0.2</v>
      </c>
      <c r="G299" s="52">
        <v>46087</v>
      </c>
      <c r="H299" s="26">
        <v>723</v>
      </c>
      <c r="I299" s="44">
        <f>Table1[[#This Row],[SỐ LƯỢNG ]]*1000</f>
        <v>200</v>
      </c>
      <c r="J299" s="44">
        <v>3000000</v>
      </c>
      <c r="K299" s="16">
        <f>Table1[[#This Row],[SỐ LƯỢNG ]]*Table1[[#This Row],[ĐƠN GIÁ /1 KG]]</f>
        <v>600000</v>
      </c>
      <c r="L299" s="44"/>
      <c r="M299" s="44"/>
      <c r="N299" s="44"/>
      <c r="O299" s="44"/>
      <c r="P299" s="44"/>
      <c r="Q299" s="44"/>
      <c r="R299" s="44"/>
      <c r="S299" s="44"/>
      <c r="T299" s="44"/>
      <c r="U299" s="44"/>
      <c r="V299" s="44"/>
      <c r="W299" s="44"/>
      <c r="X299" s="44"/>
      <c r="Y299" s="50"/>
      <c r="Z299" s="50"/>
      <c r="AA299" s="50"/>
      <c r="AB299" s="50"/>
      <c r="AC299" s="50"/>
      <c r="AD299" s="73"/>
      <c r="AE299" s="73"/>
      <c r="AF299" s="73"/>
      <c r="AG299" s="73"/>
      <c r="AH299" s="73"/>
      <c r="AI299" s="73"/>
      <c r="AJ299" s="44"/>
      <c r="AK299" s="44"/>
      <c r="AL299" s="44"/>
      <c r="AM299" s="44"/>
      <c r="AN299" s="44"/>
      <c r="AO299" s="45">
        <f>Table1[[#This Row],[QUY ĐỔI GRAM]]-SUM(Table1[[#This Row],[XK ĐỒNG TÂM]:[XK LSX 8]])</f>
        <v>200</v>
      </c>
      <c r="AP299" s="51">
        <f>Table1[[#This Row],[CÒN LẠI (gram)]]*Table1[[#This Row],[ĐƠN GIÁ /1 KG]]/1000</f>
        <v>600000</v>
      </c>
      <c r="AQ299" s="47" t="s">
        <v>269</v>
      </c>
      <c r="AR299" s="20"/>
      <c r="AS299" s="20"/>
      <c r="AT299" s="20"/>
      <c r="AU299" s="20"/>
    </row>
    <row r="300" spans="1:47" ht="28" x14ac:dyDescent="0.35">
      <c r="A300" s="163">
        <v>297</v>
      </c>
      <c r="B300" s="53" t="s">
        <v>584</v>
      </c>
      <c r="C300" s="20"/>
      <c r="D300" s="185" t="s">
        <v>600</v>
      </c>
      <c r="E300" s="15" t="s">
        <v>17</v>
      </c>
      <c r="F300" s="43">
        <v>0.2</v>
      </c>
      <c r="G300" s="52">
        <v>46087</v>
      </c>
      <c r="H300" s="26">
        <v>997</v>
      </c>
      <c r="I300" s="44">
        <f>Table1[[#This Row],[SỐ LƯỢNG ]]*1000</f>
        <v>200</v>
      </c>
      <c r="J300" s="44">
        <v>2450000</v>
      </c>
      <c r="K300" s="16">
        <f>Table1[[#This Row],[SỐ LƯỢNG ]]*Table1[[#This Row],[ĐƠN GIÁ /1 KG]]</f>
        <v>490000</v>
      </c>
      <c r="L300" s="44"/>
      <c r="M300" s="44"/>
      <c r="N300" s="44"/>
      <c r="O300" s="44"/>
      <c r="P300" s="44"/>
      <c r="Q300" s="44"/>
      <c r="R300" s="44"/>
      <c r="S300" s="44"/>
      <c r="T300" s="44"/>
      <c r="U300" s="44"/>
      <c r="V300" s="44"/>
      <c r="W300" s="44"/>
      <c r="X300" s="44"/>
      <c r="Y300" s="50"/>
      <c r="Z300" s="50"/>
      <c r="AA300" s="50"/>
      <c r="AB300" s="50"/>
      <c r="AC300" s="50"/>
      <c r="AD300" s="73"/>
      <c r="AE300" s="73"/>
      <c r="AF300" s="73"/>
      <c r="AG300" s="73"/>
      <c r="AH300" s="73"/>
      <c r="AI300" s="73"/>
      <c r="AJ300" s="44"/>
      <c r="AK300" s="44"/>
      <c r="AL300" s="44"/>
      <c r="AM300" s="44"/>
      <c r="AN300" s="44"/>
      <c r="AO300" s="45">
        <f>Table1[[#This Row],[QUY ĐỔI GRAM]]-SUM(Table1[[#This Row],[XK ĐỒNG TÂM]:[XK LSX 8]])</f>
        <v>200</v>
      </c>
      <c r="AP300" s="51">
        <f>Table1[[#This Row],[CÒN LẠI (gram)]]*Table1[[#This Row],[ĐƠN GIÁ /1 KG]]/1000</f>
        <v>490000</v>
      </c>
      <c r="AQ300" s="88" t="s">
        <v>20</v>
      </c>
      <c r="AR300" s="20"/>
      <c r="AS300" s="20"/>
      <c r="AT300" s="20"/>
      <c r="AU300" s="20"/>
    </row>
    <row r="301" spans="1:47" ht="25.5" customHeight="1" x14ac:dyDescent="0.35">
      <c r="A301" s="163">
        <v>298</v>
      </c>
      <c r="B301" s="186" t="s">
        <v>585</v>
      </c>
      <c r="C301" s="187"/>
      <c r="D301" s="198" t="s">
        <v>54</v>
      </c>
      <c r="E301" s="15" t="s">
        <v>17</v>
      </c>
      <c r="F301" s="189">
        <v>41</v>
      </c>
      <c r="G301" s="190">
        <v>46090</v>
      </c>
      <c r="H301" s="191">
        <v>1390</v>
      </c>
      <c r="I301" s="192">
        <f>Table1[[#This Row],[SỐ LƯỢNG ]]*1000</f>
        <v>41000</v>
      </c>
      <c r="J301" s="192">
        <v>135185</v>
      </c>
      <c r="K301" s="193">
        <f>Table1[[#This Row],[SỐ LƯỢNG ]]*Table1[[#This Row],[ĐƠN GIÁ /1 KG]]</f>
        <v>5542585</v>
      </c>
      <c r="L301" s="192"/>
      <c r="M301" s="192"/>
      <c r="N301" s="192"/>
      <c r="O301" s="192"/>
      <c r="P301" s="192"/>
      <c r="Q301" s="192"/>
      <c r="R301" s="192"/>
      <c r="S301" s="192"/>
      <c r="T301" s="192"/>
      <c r="U301" s="192"/>
      <c r="V301" s="192"/>
      <c r="W301" s="192"/>
      <c r="X301" s="192"/>
      <c r="Y301" s="194"/>
      <c r="Z301" s="194"/>
      <c r="AA301" s="194"/>
      <c r="AB301" s="194"/>
      <c r="AC301" s="194"/>
      <c r="AD301" s="195"/>
      <c r="AE301" s="195"/>
      <c r="AF301" s="195"/>
      <c r="AG301" s="195"/>
      <c r="AH301" s="195"/>
      <c r="AI301" s="195"/>
      <c r="AJ301" s="192"/>
      <c r="AK301" s="192"/>
      <c r="AL301" s="192"/>
      <c r="AM301" s="192"/>
      <c r="AN301" s="192"/>
      <c r="AO301" s="196">
        <f>Table1[[#This Row],[QUY ĐỔI GRAM]]-SUM(Table1[[#This Row],[XK ĐỒNG TÂM]:[XK LSX 8]])</f>
        <v>41000</v>
      </c>
      <c r="AP301" s="197">
        <f>Table1[[#This Row],[CÒN LẠI (gram)]]*Table1[[#This Row],[ĐƠN GIÁ /1 KG]]/1000</f>
        <v>5542585</v>
      </c>
      <c r="AQ301" s="3" t="s">
        <v>275</v>
      </c>
      <c r="AR301" s="187"/>
      <c r="AS301" s="187"/>
      <c r="AT301" s="187"/>
      <c r="AU301" s="187"/>
    </row>
    <row r="302" spans="1:47" ht="25.5" customHeight="1" x14ac:dyDescent="0.35">
      <c r="A302" s="163">
        <v>299</v>
      </c>
      <c r="B302" s="186" t="s">
        <v>586</v>
      </c>
      <c r="C302" s="187"/>
      <c r="D302" s="188" t="s">
        <v>425</v>
      </c>
      <c r="E302" s="15" t="s">
        <v>17</v>
      </c>
      <c r="F302" s="189">
        <v>5</v>
      </c>
      <c r="G302" s="190">
        <v>46090</v>
      </c>
      <c r="H302" s="191">
        <v>1391</v>
      </c>
      <c r="I302" s="192">
        <f>Table1[[#This Row],[SỐ LƯỢNG ]]*1000</f>
        <v>5000</v>
      </c>
      <c r="J302" s="192">
        <v>101852</v>
      </c>
      <c r="K302" s="193">
        <f>Table1[[#This Row],[SỐ LƯỢNG ]]*Table1[[#This Row],[ĐƠN GIÁ /1 KG]]</f>
        <v>509260</v>
      </c>
      <c r="L302" s="192"/>
      <c r="M302" s="192"/>
      <c r="N302" s="192"/>
      <c r="O302" s="192"/>
      <c r="P302" s="192"/>
      <c r="Q302" s="192"/>
      <c r="R302" s="192"/>
      <c r="S302" s="192"/>
      <c r="T302" s="192"/>
      <c r="U302" s="192"/>
      <c r="V302" s="192"/>
      <c r="W302" s="192"/>
      <c r="X302" s="192"/>
      <c r="Y302" s="194"/>
      <c r="Z302" s="194"/>
      <c r="AA302" s="194"/>
      <c r="AB302" s="194"/>
      <c r="AC302" s="194"/>
      <c r="AD302" s="195"/>
      <c r="AE302" s="195"/>
      <c r="AF302" s="195"/>
      <c r="AG302" s="195"/>
      <c r="AH302" s="195"/>
      <c r="AI302" s="195"/>
      <c r="AJ302" s="192"/>
      <c r="AK302" s="192"/>
      <c r="AL302" s="192"/>
      <c r="AM302" s="192"/>
      <c r="AN302" s="192"/>
      <c r="AO302" s="196">
        <f>Table1[[#This Row],[QUY ĐỔI GRAM]]-SUM(Table1[[#This Row],[XK ĐỒNG TÂM]:[XK LSX 8]])</f>
        <v>5000</v>
      </c>
      <c r="AP302" s="197">
        <f>Table1[[#This Row],[CÒN LẠI (gram)]]*Table1[[#This Row],[ĐƠN GIÁ /1 KG]]/1000</f>
        <v>509260</v>
      </c>
      <c r="AQ302" s="3" t="s">
        <v>275</v>
      </c>
      <c r="AR302" s="187"/>
      <c r="AS302" s="187"/>
      <c r="AT302" s="187"/>
      <c r="AU302" s="187"/>
    </row>
    <row r="303" spans="1:47" ht="25.5" customHeight="1" x14ac:dyDescent="0.35">
      <c r="A303" s="163">
        <v>300</v>
      </c>
      <c r="B303" s="186" t="s">
        <v>534</v>
      </c>
      <c r="C303" s="187"/>
      <c r="D303" s="134" t="s">
        <v>542</v>
      </c>
      <c r="E303" s="15" t="s">
        <v>17</v>
      </c>
      <c r="F303" s="189">
        <v>2</v>
      </c>
      <c r="G303" s="190">
        <v>46090</v>
      </c>
      <c r="H303" s="191">
        <v>1392</v>
      </c>
      <c r="I303" s="192">
        <f>Table1[[#This Row],[SỐ LƯỢNG ]]*1000</f>
        <v>2000</v>
      </c>
      <c r="J303" s="192">
        <v>138426</v>
      </c>
      <c r="K303" s="193">
        <f>Table1[[#This Row],[SỐ LƯỢNG ]]*Table1[[#This Row],[ĐƠN GIÁ /1 KG]]</f>
        <v>276852</v>
      </c>
      <c r="L303" s="192"/>
      <c r="M303" s="192"/>
      <c r="N303" s="192"/>
      <c r="O303" s="192"/>
      <c r="P303" s="192"/>
      <c r="Q303" s="192"/>
      <c r="R303" s="192"/>
      <c r="S303" s="192"/>
      <c r="T303" s="192"/>
      <c r="U303" s="192"/>
      <c r="V303" s="192"/>
      <c r="W303" s="192"/>
      <c r="X303" s="192"/>
      <c r="Y303" s="194"/>
      <c r="Z303" s="194"/>
      <c r="AA303" s="194"/>
      <c r="AB303" s="194"/>
      <c r="AC303" s="194"/>
      <c r="AD303" s="195"/>
      <c r="AE303" s="195"/>
      <c r="AF303" s="195"/>
      <c r="AG303" s="195"/>
      <c r="AH303" s="195"/>
      <c r="AI303" s="195"/>
      <c r="AJ303" s="192"/>
      <c r="AK303" s="192"/>
      <c r="AL303" s="192"/>
      <c r="AM303" s="192"/>
      <c r="AN303" s="192"/>
      <c r="AO303" s="196">
        <f>Table1[[#This Row],[QUY ĐỔI GRAM]]-SUM(Table1[[#This Row],[XK ĐỒNG TÂM]:[XK LSX 8]])</f>
        <v>2000</v>
      </c>
      <c r="AP303" s="197">
        <f>Table1[[#This Row],[CÒN LẠI (gram)]]*Table1[[#This Row],[ĐƠN GIÁ /1 KG]]/1000</f>
        <v>276852</v>
      </c>
      <c r="AQ303" s="3" t="s">
        <v>275</v>
      </c>
      <c r="AR303" s="187"/>
      <c r="AS303" s="187"/>
      <c r="AT303" s="187"/>
      <c r="AU303" s="187"/>
    </row>
    <row r="304" spans="1:47" ht="25.5" customHeight="1" x14ac:dyDescent="0.35">
      <c r="A304" s="163">
        <v>301</v>
      </c>
      <c r="B304" s="186" t="s">
        <v>587</v>
      </c>
      <c r="C304" s="187"/>
      <c r="D304" s="188" t="s">
        <v>599</v>
      </c>
      <c r="E304" s="15" t="s">
        <v>17</v>
      </c>
      <c r="F304" s="189">
        <v>25</v>
      </c>
      <c r="G304" s="190">
        <v>46090</v>
      </c>
      <c r="H304" s="191">
        <v>1393</v>
      </c>
      <c r="I304" s="192">
        <f>Table1[[#This Row],[SỐ LƯỢNG ]]*1000</f>
        <v>25000</v>
      </c>
      <c r="J304" s="192">
        <v>144444</v>
      </c>
      <c r="K304" s="193">
        <f>Table1[[#This Row],[SỐ LƯỢNG ]]*Table1[[#This Row],[ĐƠN GIÁ /1 KG]]</f>
        <v>3611100</v>
      </c>
      <c r="L304" s="192"/>
      <c r="M304" s="192"/>
      <c r="N304" s="192"/>
      <c r="O304" s="192"/>
      <c r="P304" s="192"/>
      <c r="Q304" s="192"/>
      <c r="R304" s="192"/>
      <c r="S304" s="192"/>
      <c r="T304" s="192"/>
      <c r="U304" s="192"/>
      <c r="V304" s="192"/>
      <c r="W304" s="192"/>
      <c r="X304" s="192"/>
      <c r="Y304" s="194"/>
      <c r="Z304" s="194"/>
      <c r="AA304" s="194"/>
      <c r="AB304" s="194"/>
      <c r="AC304" s="194"/>
      <c r="AD304" s="195"/>
      <c r="AE304" s="195"/>
      <c r="AF304" s="195"/>
      <c r="AG304" s="195"/>
      <c r="AH304" s="195"/>
      <c r="AI304" s="195"/>
      <c r="AJ304" s="192"/>
      <c r="AK304" s="192"/>
      <c r="AL304" s="192"/>
      <c r="AM304" s="192"/>
      <c r="AN304" s="192"/>
      <c r="AO304" s="196">
        <f>Table1[[#This Row],[QUY ĐỔI GRAM]]-SUM(Table1[[#This Row],[XK ĐỒNG TÂM]:[XK LSX 8]])</f>
        <v>25000</v>
      </c>
      <c r="AP304" s="197">
        <f>Table1[[#This Row],[CÒN LẠI (gram)]]*Table1[[#This Row],[ĐƠN GIÁ /1 KG]]/1000</f>
        <v>3611100</v>
      </c>
      <c r="AQ304" s="3" t="s">
        <v>275</v>
      </c>
      <c r="AR304" s="187"/>
      <c r="AS304" s="187"/>
      <c r="AT304" s="187"/>
      <c r="AU304" s="187"/>
    </row>
    <row r="305" spans="1:47" ht="25.5" customHeight="1" x14ac:dyDescent="0.35">
      <c r="A305" s="163">
        <v>302</v>
      </c>
      <c r="B305" s="186" t="s">
        <v>588</v>
      </c>
      <c r="C305" s="187"/>
      <c r="D305" s="188"/>
      <c r="E305" s="15" t="s">
        <v>17</v>
      </c>
      <c r="F305" s="189">
        <v>30</v>
      </c>
      <c r="G305" s="190">
        <v>46090</v>
      </c>
      <c r="H305" s="191">
        <v>1394</v>
      </c>
      <c r="I305" s="192">
        <f>Table1[[#This Row],[SỐ LƯỢNG ]]*1000</f>
        <v>30000</v>
      </c>
      <c r="J305" s="192">
        <v>32000</v>
      </c>
      <c r="K305" s="193">
        <f>Table1[[#This Row],[SỐ LƯỢNG ]]*Table1[[#This Row],[ĐƠN GIÁ /1 KG]]</f>
        <v>960000</v>
      </c>
      <c r="L305" s="192"/>
      <c r="M305" s="192"/>
      <c r="N305" s="192"/>
      <c r="O305" s="192"/>
      <c r="P305" s="192"/>
      <c r="Q305" s="192"/>
      <c r="R305" s="192"/>
      <c r="S305" s="192"/>
      <c r="T305" s="192"/>
      <c r="U305" s="192"/>
      <c r="V305" s="192"/>
      <c r="W305" s="192"/>
      <c r="X305" s="192"/>
      <c r="Y305" s="194"/>
      <c r="Z305" s="194"/>
      <c r="AA305" s="194"/>
      <c r="AB305" s="194"/>
      <c r="AC305" s="194"/>
      <c r="AD305" s="195"/>
      <c r="AE305" s="195"/>
      <c r="AF305" s="195"/>
      <c r="AG305" s="195"/>
      <c r="AH305" s="195"/>
      <c r="AI305" s="195"/>
      <c r="AJ305" s="192"/>
      <c r="AK305" s="192"/>
      <c r="AL305" s="192"/>
      <c r="AM305" s="192"/>
      <c r="AN305" s="192"/>
      <c r="AO305" s="196">
        <f>Table1[[#This Row],[QUY ĐỔI GRAM]]-SUM(Table1[[#This Row],[XK ĐỒNG TÂM]:[XK LSX 8]])</f>
        <v>30000</v>
      </c>
      <c r="AP305" s="197">
        <f>Table1[[#This Row],[CÒN LẠI (gram)]]*Table1[[#This Row],[ĐƠN GIÁ /1 KG]]/1000</f>
        <v>960000</v>
      </c>
      <c r="AQ305" s="3" t="s">
        <v>275</v>
      </c>
      <c r="AR305" s="187"/>
      <c r="AS305" s="187"/>
      <c r="AT305" s="187"/>
      <c r="AU305" s="187"/>
    </row>
    <row r="306" spans="1:47" ht="25.5" customHeight="1" x14ac:dyDescent="0.35">
      <c r="A306" s="163">
        <v>303</v>
      </c>
      <c r="B306" s="186" t="s">
        <v>589</v>
      </c>
      <c r="C306" s="187"/>
      <c r="D306" s="188"/>
      <c r="E306" s="15" t="s">
        <v>17</v>
      </c>
      <c r="F306" s="189">
        <v>1</v>
      </c>
      <c r="G306" s="190">
        <v>46090</v>
      </c>
      <c r="H306" s="191">
        <v>1395</v>
      </c>
      <c r="I306" s="192">
        <f>Table1[[#This Row],[SỐ LƯỢNG ]]*1000</f>
        <v>1000</v>
      </c>
      <c r="J306" s="192">
        <v>75000</v>
      </c>
      <c r="K306" s="193">
        <f>Table1[[#This Row],[SỐ LƯỢNG ]]*Table1[[#This Row],[ĐƠN GIÁ /1 KG]]</f>
        <v>75000</v>
      </c>
      <c r="L306" s="192"/>
      <c r="M306" s="192"/>
      <c r="N306" s="192"/>
      <c r="O306" s="192"/>
      <c r="P306" s="192"/>
      <c r="Q306" s="192"/>
      <c r="R306" s="192"/>
      <c r="S306" s="192"/>
      <c r="T306" s="192"/>
      <c r="U306" s="192"/>
      <c r="V306" s="192"/>
      <c r="W306" s="192"/>
      <c r="X306" s="192"/>
      <c r="Y306" s="194"/>
      <c r="Z306" s="194"/>
      <c r="AA306" s="194"/>
      <c r="AB306" s="194"/>
      <c r="AC306" s="194"/>
      <c r="AD306" s="195"/>
      <c r="AE306" s="195"/>
      <c r="AF306" s="195"/>
      <c r="AG306" s="195"/>
      <c r="AH306" s="195"/>
      <c r="AI306" s="195"/>
      <c r="AJ306" s="192"/>
      <c r="AK306" s="192"/>
      <c r="AL306" s="192"/>
      <c r="AM306" s="192"/>
      <c r="AN306" s="192"/>
      <c r="AO306" s="196">
        <f>Table1[[#This Row],[QUY ĐỔI GRAM]]-SUM(Table1[[#This Row],[XK ĐỒNG TÂM]:[XK LSX 8]])</f>
        <v>1000</v>
      </c>
      <c r="AP306" s="197">
        <f>Table1[[#This Row],[CÒN LẠI (gram)]]*Table1[[#This Row],[ĐƠN GIÁ /1 KG]]/1000</f>
        <v>75000</v>
      </c>
      <c r="AQ306" s="3" t="s">
        <v>275</v>
      </c>
      <c r="AR306" s="187"/>
      <c r="AS306" s="187"/>
      <c r="AT306" s="187"/>
      <c r="AU306" s="187"/>
    </row>
    <row r="307" spans="1:47" ht="25.5" customHeight="1" x14ac:dyDescent="0.35">
      <c r="A307" s="163">
        <v>304</v>
      </c>
      <c r="B307" s="186" t="s">
        <v>334</v>
      </c>
      <c r="C307" s="187"/>
      <c r="D307" s="89" t="s">
        <v>165</v>
      </c>
      <c r="E307" s="15" t="s">
        <v>17</v>
      </c>
      <c r="F307" s="189">
        <v>57</v>
      </c>
      <c r="G307" s="190">
        <v>46090</v>
      </c>
      <c r="H307" s="191">
        <v>1396</v>
      </c>
      <c r="I307" s="192">
        <f>Table1[[#This Row],[SỐ LƯỢNG ]]*1000</f>
        <v>57000</v>
      </c>
      <c r="J307" s="192">
        <v>195370</v>
      </c>
      <c r="K307" s="193">
        <f>Table1[[#This Row],[SỐ LƯỢNG ]]*Table1[[#This Row],[ĐƠN GIÁ /1 KG]]</f>
        <v>11136090</v>
      </c>
      <c r="L307" s="192"/>
      <c r="M307" s="192"/>
      <c r="N307" s="192"/>
      <c r="O307" s="192"/>
      <c r="P307" s="192"/>
      <c r="Q307" s="192"/>
      <c r="R307" s="192"/>
      <c r="S307" s="192"/>
      <c r="T307" s="192"/>
      <c r="U307" s="192"/>
      <c r="V307" s="192"/>
      <c r="W307" s="192"/>
      <c r="X307" s="192"/>
      <c r="Y307" s="194"/>
      <c r="Z307" s="194"/>
      <c r="AA307" s="194"/>
      <c r="AB307" s="194"/>
      <c r="AC307" s="194"/>
      <c r="AD307" s="195"/>
      <c r="AE307" s="195"/>
      <c r="AF307" s="195"/>
      <c r="AG307" s="195"/>
      <c r="AH307" s="195"/>
      <c r="AI307" s="195"/>
      <c r="AJ307" s="192"/>
      <c r="AK307" s="192"/>
      <c r="AL307" s="192"/>
      <c r="AM307" s="192"/>
      <c r="AN307" s="192"/>
      <c r="AO307" s="196">
        <f>Table1[[#This Row],[QUY ĐỔI GRAM]]-SUM(Table1[[#This Row],[XK ĐỒNG TÂM]:[XK LSX 8]])</f>
        <v>57000</v>
      </c>
      <c r="AP307" s="197">
        <f>Table1[[#This Row],[CÒN LẠI (gram)]]*Table1[[#This Row],[ĐƠN GIÁ /1 KG]]/1000</f>
        <v>11136090</v>
      </c>
      <c r="AQ307" s="3" t="s">
        <v>275</v>
      </c>
      <c r="AR307" s="187"/>
      <c r="AS307" s="187"/>
      <c r="AT307" s="187"/>
      <c r="AU307" s="187"/>
    </row>
    <row r="308" spans="1:47" ht="25.5" customHeight="1" x14ac:dyDescent="0.35">
      <c r="A308" s="163">
        <v>305</v>
      </c>
      <c r="B308" s="186" t="s">
        <v>590</v>
      </c>
      <c r="C308" s="187"/>
      <c r="D308" s="89" t="s">
        <v>429</v>
      </c>
      <c r="E308" s="15" t="s">
        <v>17</v>
      </c>
      <c r="F308" s="189">
        <v>0.5</v>
      </c>
      <c r="G308" s="190">
        <v>46090</v>
      </c>
      <c r="H308" s="191">
        <v>1397</v>
      </c>
      <c r="I308" s="192">
        <f>Table1[[#This Row],[SỐ LƯỢNG ]]*1000</f>
        <v>500</v>
      </c>
      <c r="J308" s="192">
        <v>857000</v>
      </c>
      <c r="K308" s="193">
        <f>Table1[[#This Row],[SỐ LƯỢNG ]]*Table1[[#This Row],[ĐƠN GIÁ /1 KG]]</f>
        <v>428500</v>
      </c>
      <c r="L308" s="192"/>
      <c r="M308" s="192"/>
      <c r="N308" s="192"/>
      <c r="O308" s="192"/>
      <c r="P308" s="192"/>
      <c r="Q308" s="192"/>
      <c r="R308" s="192"/>
      <c r="S308" s="192"/>
      <c r="T308" s="192"/>
      <c r="U308" s="192"/>
      <c r="V308" s="192"/>
      <c r="W308" s="192"/>
      <c r="X308" s="192"/>
      <c r="Y308" s="194"/>
      <c r="Z308" s="194"/>
      <c r="AA308" s="194"/>
      <c r="AB308" s="194"/>
      <c r="AC308" s="194"/>
      <c r="AD308" s="195"/>
      <c r="AE308" s="195"/>
      <c r="AF308" s="195"/>
      <c r="AG308" s="195"/>
      <c r="AH308" s="195"/>
      <c r="AI308" s="195"/>
      <c r="AJ308" s="192"/>
      <c r="AK308" s="192"/>
      <c r="AL308" s="192"/>
      <c r="AM308" s="192"/>
      <c r="AN308" s="192"/>
      <c r="AO308" s="196">
        <f>Table1[[#This Row],[QUY ĐỔI GRAM]]-SUM(Table1[[#This Row],[XK ĐỒNG TÂM]:[XK LSX 8]])</f>
        <v>500</v>
      </c>
      <c r="AP308" s="197">
        <f>Table1[[#This Row],[CÒN LẠI (gram)]]*Table1[[#This Row],[ĐƠN GIÁ /1 KG]]/1000</f>
        <v>428500</v>
      </c>
      <c r="AQ308" s="3" t="s">
        <v>275</v>
      </c>
      <c r="AR308" s="187"/>
      <c r="AS308" s="187"/>
      <c r="AT308" s="187"/>
      <c r="AU308" s="187"/>
    </row>
    <row r="309" spans="1:47" ht="25.5" customHeight="1" x14ac:dyDescent="0.35">
      <c r="A309" s="163">
        <v>306</v>
      </c>
      <c r="B309" s="186" t="s">
        <v>591</v>
      </c>
      <c r="C309" s="187"/>
      <c r="D309" s="188"/>
      <c r="E309" s="15" t="s">
        <v>17</v>
      </c>
      <c r="F309" s="189">
        <v>26</v>
      </c>
      <c r="G309" s="190">
        <v>46090</v>
      </c>
      <c r="H309" s="191">
        <v>1398</v>
      </c>
      <c r="I309" s="192">
        <f>Table1[[#This Row],[SỐ LƯỢNG ]]*1000</f>
        <v>26000</v>
      </c>
      <c r="J309" s="192">
        <v>183333</v>
      </c>
      <c r="K309" s="193">
        <f>Table1[[#This Row],[SỐ LƯỢNG ]]*Table1[[#This Row],[ĐƠN GIÁ /1 KG]]</f>
        <v>4766658</v>
      </c>
      <c r="L309" s="192"/>
      <c r="M309" s="192"/>
      <c r="N309" s="192"/>
      <c r="O309" s="192"/>
      <c r="P309" s="192"/>
      <c r="Q309" s="192"/>
      <c r="R309" s="192"/>
      <c r="S309" s="192"/>
      <c r="T309" s="192"/>
      <c r="U309" s="192"/>
      <c r="V309" s="192"/>
      <c r="W309" s="192"/>
      <c r="X309" s="192"/>
      <c r="Y309" s="194"/>
      <c r="Z309" s="194"/>
      <c r="AA309" s="194"/>
      <c r="AB309" s="194"/>
      <c r="AC309" s="194"/>
      <c r="AD309" s="195"/>
      <c r="AE309" s="195"/>
      <c r="AF309" s="195"/>
      <c r="AG309" s="195"/>
      <c r="AH309" s="195"/>
      <c r="AI309" s="195"/>
      <c r="AJ309" s="192"/>
      <c r="AK309" s="192"/>
      <c r="AL309" s="192"/>
      <c r="AM309" s="192"/>
      <c r="AN309" s="192"/>
      <c r="AO309" s="196">
        <f>Table1[[#This Row],[QUY ĐỔI GRAM]]-SUM(Table1[[#This Row],[XK ĐỒNG TÂM]:[XK LSX 8]])</f>
        <v>26000</v>
      </c>
      <c r="AP309" s="197">
        <f>Table1[[#This Row],[CÒN LẠI (gram)]]*Table1[[#This Row],[ĐƠN GIÁ /1 KG]]/1000</f>
        <v>4766658</v>
      </c>
      <c r="AQ309" s="3" t="s">
        <v>275</v>
      </c>
      <c r="AR309" s="187"/>
      <c r="AS309" s="187"/>
      <c r="AT309" s="187"/>
      <c r="AU309" s="187"/>
    </row>
    <row r="310" spans="1:47" ht="25.5" customHeight="1" x14ac:dyDescent="0.35">
      <c r="A310" s="163">
        <v>307</v>
      </c>
      <c r="B310" s="186" t="s">
        <v>592</v>
      </c>
      <c r="C310" s="187"/>
      <c r="D310" s="188"/>
      <c r="E310" s="15" t="s">
        <v>17</v>
      </c>
      <c r="F310" s="189">
        <v>18</v>
      </c>
      <c r="G310" s="190">
        <v>46090</v>
      </c>
      <c r="H310" s="191">
        <v>1399</v>
      </c>
      <c r="I310" s="192">
        <f>Table1[[#This Row],[SỐ LƯỢNG ]]*1000</f>
        <v>18000</v>
      </c>
      <c r="J310" s="192">
        <v>18981</v>
      </c>
      <c r="K310" s="193">
        <f>Table1[[#This Row],[SỐ LƯỢNG ]]*Table1[[#This Row],[ĐƠN GIÁ /1 KG]]</f>
        <v>341658</v>
      </c>
      <c r="L310" s="192"/>
      <c r="M310" s="192"/>
      <c r="N310" s="192"/>
      <c r="O310" s="192"/>
      <c r="P310" s="192"/>
      <c r="Q310" s="192"/>
      <c r="R310" s="192"/>
      <c r="S310" s="192"/>
      <c r="T310" s="192"/>
      <c r="U310" s="192"/>
      <c r="V310" s="192"/>
      <c r="W310" s="192"/>
      <c r="X310" s="192"/>
      <c r="Y310" s="194"/>
      <c r="Z310" s="194"/>
      <c r="AA310" s="194"/>
      <c r="AB310" s="194"/>
      <c r="AC310" s="194"/>
      <c r="AD310" s="195"/>
      <c r="AE310" s="195"/>
      <c r="AF310" s="195"/>
      <c r="AG310" s="195"/>
      <c r="AH310" s="195"/>
      <c r="AI310" s="195"/>
      <c r="AJ310" s="192"/>
      <c r="AK310" s="192"/>
      <c r="AL310" s="192"/>
      <c r="AM310" s="192"/>
      <c r="AN310" s="192"/>
      <c r="AO310" s="196">
        <f>Table1[[#This Row],[QUY ĐỔI GRAM]]-SUM(Table1[[#This Row],[XK ĐỒNG TÂM]:[XK LSX 8]])</f>
        <v>18000</v>
      </c>
      <c r="AP310" s="197">
        <f>Table1[[#This Row],[CÒN LẠI (gram)]]*Table1[[#This Row],[ĐƠN GIÁ /1 KG]]/1000</f>
        <v>341658</v>
      </c>
      <c r="AQ310" s="3" t="s">
        <v>275</v>
      </c>
      <c r="AR310" s="187"/>
      <c r="AS310" s="187"/>
      <c r="AT310" s="187"/>
      <c r="AU310" s="187"/>
    </row>
    <row r="311" spans="1:47" ht="25.5" customHeight="1" x14ac:dyDescent="0.35">
      <c r="A311" s="163">
        <v>308</v>
      </c>
      <c r="B311" s="186" t="s">
        <v>593</v>
      </c>
      <c r="C311" s="187"/>
      <c r="D311" s="188" t="s">
        <v>598</v>
      </c>
      <c r="E311" s="15" t="s">
        <v>17</v>
      </c>
      <c r="F311" s="189">
        <v>75</v>
      </c>
      <c r="G311" s="190">
        <v>46090</v>
      </c>
      <c r="H311" s="191">
        <v>1400</v>
      </c>
      <c r="I311" s="192">
        <f>Table1[[#This Row],[SỐ LƯỢNG ]]*1000</f>
        <v>75000</v>
      </c>
      <c r="J311" s="192">
        <v>37222</v>
      </c>
      <c r="K311" s="193">
        <f>Table1[[#This Row],[SỐ LƯỢNG ]]*Table1[[#This Row],[ĐƠN GIÁ /1 KG]]</f>
        <v>2791650</v>
      </c>
      <c r="L311" s="192"/>
      <c r="M311" s="192"/>
      <c r="N311" s="192"/>
      <c r="O311" s="192"/>
      <c r="P311" s="192"/>
      <c r="Q311" s="192"/>
      <c r="R311" s="192"/>
      <c r="S311" s="192"/>
      <c r="T311" s="192"/>
      <c r="U311" s="192"/>
      <c r="V311" s="192"/>
      <c r="W311" s="192"/>
      <c r="X311" s="192"/>
      <c r="Y311" s="194"/>
      <c r="Z311" s="194"/>
      <c r="AA311" s="194"/>
      <c r="AB311" s="194"/>
      <c r="AC311" s="194"/>
      <c r="AD311" s="195"/>
      <c r="AE311" s="195"/>
      <c r="AF311" s="195"/>
      <c r="AG311" s="195"/>
      <c r="AH311" s="195"/>
      <c r="AI311" s="195"/>
      <c r="AJ311" s="192"/>
      <c r="AK311" s="192"/>
      <c r="AL311" s="192"/>
      <c r="AM311" s="192"/>
      <c r="AN311" s="192"/>
      <c r="AO311" s="196">
        <f>Table1[[#This Row],[QUY ĐỔI GRAM]]-SUM(Table1[[#This Row],[XK ĐỒNG TÂM]:[XK LSX 8]])</f>
        <v>75000</v>
      </c>
      <c r="AP311" s="197">
        <f>Table1[[#This Row],[CÒN LẠI (gram)]]*Table1[[#This Row],[ĐƠN GIÁ /1 KG]]/1000</f>
        <v>2791650</v>
      </c>
      <c r="AQ311" s="3" t="s">
        <v>275</v>
      </c>
      <c r="AR311" s="187"/>
      <c r="AS311" s="187"/>
      <c r="AT311" s="187"/>
      <c r="AU311" s="187"/>
    </row>
    <row r="312" spans="1:47" ht="25.5" customHeight="1" x14ac:dyDescent="0.35">
      <c r="A312" s="163">
        <v>309</v>
      </c>
      <c r="B312" s="186" t="s">
        <v>594</v>
      </c>
      <c r="C312" s="187"/>
      <c r="D312" s="188" t="s">
        <v>597</v>
      </c>
      <c r="E312" s="15" t="s">
        <v>17</v>
      </c>
      <c r="F312" s="189">
        <v>30</v>
      </c>
      <c r="G312" s="190">
        <v>46091</v>
      </c>
      <c r="H312" s="191">
        <v>24</v>
      </c>
      <c r="I312" s="192">
        <f>Table1[[#This Row],[SỐ LƯỢNG ]]*1000</f>
        <v>30000</v>
      </c>
      <c r="J312" s="192">
        <v>130000</v>
      </c>
      <c r="K312" s="193">
        <f>Table1[[#This Row],[SỐ LƯỢNG ]]*Table1[[#This Row],[ĐƠN GIÁ /1 KG]]</f>
        <v>3900000</v>
      </c>
      <c r="L312" s="192"/>
      <c r="M312" s="192"/>
      <c r="N312" s="192"/>
      <c r="O312" s="192"/>
      <c r="P312" s="192"/>
      <c r="Q312" s="192"/>
      <c r="R312" s="192"/>
      <c r="S312" s="192"/>
      <c r="T312" s="192"/>
      <c r="U312" s="192"/>
      <c r="V312" s="192"/>
      <c r="W312" s="192"/>
      <c r="X312" s="192"/>
      <c r="Y312" s="194"/>
      <c r="Z312" s="194"/>
      <c r="AA312" s="194"/>
      <c r="AB312" s="194"/>
      <c r="AC312" s="194"/>
      <c r="AD312" s="195"/>
      <c r="AE312" s="195"/>
      <c r="AF312" s="195"/>
      <c r="AG312" s="195"/>
      <c r="AH312" s="195"/>
      <c r="AI312" s="195"/>
      <c r="AJ312" s="192"/>
      <c r="AK312" s="192"/>
      <c r="AL312" s="192"/>
      <c r="AM312" s="192"/>
      <c r="AN312" s="192"/>
      <c r="AO312" s="196">
        <f>Table1[[#This Row],[QUY ĐỔI GRAM]]-SUM(Table1[[#This Row],[XK ĐỒNG TÂM]:[XK LSX 8]])</f>
        <v>30000</v>
      </c>
      <c r="AP312" s="197">
        <f>Table1[[#This Row],[CÒN LẠI (gram)]]*Table1[[#This Row],[ĐƠN GIÁ /1 KG]]/1000</f>
        <v>3900000</v>
      </c>
      <c r="AQ312" s="88" t="s">
        <v>218</v>
      </c>
      <c r="AR312" s="187"/>
      <c r="AS312" s="187"/>
      <c r="AT312" s="187"/>
      <c r="AU312" s="187"/>
    </row>
    <row r="313" spans="1:47" ht="25.5" customHeight="1" x14ac:dyDescent="0.35">
      <c r="A313" s="163">
        <v>310</v>
      </c>
      <c r="B313" s="186" t="s">
        <v>595</v>
      </c>
      <c r="C313" s="187"/>
      <c r="D313" s="188"/>
      <c r="E313" s="15" t="s">
        <v>17</v>
      </c>
      <c r="F313" s="189">
        <v>50</v>
      </c>
      <c r="G313" s="190">
        <v>46091</v>
      </c>
      <c r="H313" s="191">
        <v>24</v>
      </c>
      <c r="I313" s="192">
        <f>Table1[[#This Row],[SỐ LƯỢNG ]]*1000</f>
        <v>50000</v>
      </c>
      <c r="J313" s="192">
        <v>60000</v>
      </c>
      <c r="K313" s="193">
        <f>Table1[[#This Row],[SỐ LƯỢNG ]]*Table1[[#This Row],[ĐƠN GIÁ /1 KG]]</f>
        <v>3000000</v>
      </c>
      <c r="L313" s="192"/>
      <c r="M313" s="192"/>
      <c r="N313" s="192"/>
      <c r="O313" s="192"/>
      <c r="P313" s="192"/>
      <c r="Q313" s="192"/>
      <c r="R313" s="192"/>
      <c r="S313" s="192"/>
      <c r="T313" s="192"/>
      <c r="U313" s="192"/>
      <c r="V313" s="192"/>
      <c r="W313" s="192"/>
      <c r="X313" s="192"/>
      <c r="Y313" s="194"/>
      <c r="Z313" s="194"/>
      <c r="AA313" s="194"/>
      <c r="AB313" s="194"/>
      <c r="AC313" s="194"/>
      <c r="AD313" s="195"/>
      <c r="AE313" s="195"/>
      <c r="AF313" s="195"/>
      <c r="AG313" s="195"/>
      <c r="AH313" s="195"/>
      <c r="AI313" s="195"/>
      <c r="AJ313" s="192"/>
      <c r="AK313" s="192"/>
      <c r="AL313" s="192"/>
      <c r="AM313" s="192"/>
      <c r="AN313" s="192"/>
      <c r="AO313" s="196">
        <f>Table1[[#This Row],[QUY ĐỔI GRAM]]-SUM(Table1[[#This Row],[XK ĐỒNG TÂM]:[XK LSX 8]])</f>
        <v>50000</v>
      </c>
      <c r="AP313" s="197">
        <f>Table1[[#This Row],[CÒN LẠI (gram)]]*Table1[[#This Row],[ĐƠN GIÁ /1 KG]]/1000</f>
        <v>3000000</v>
      </c>
      <c r="AQ313" s="88" t="s">
        <v>218</v>
      </c>
      <c r="AR313" s="187"/>
      <c r="AS313" s="187"/>
      <c r="AT313" s="187"/>
      <c r="AU313" s="187"/>
    </row>
    <row r="314" spans="1:47" ht="25.5" customHeight="1" x14ac:dyDescent="0.35">
      <c r="A314" s="163">
        <v>311</v>
      </c>
      <c r="B314" s="186" t="s">
        <v>293</v>
      </c>
      <c r="C314" s="187"/>
      <c r="D314" s="188" t="s">
        <v>596</v>
      </c>
      <c r="E314" s="15" t="s">
        <v>17</v>
      </c>
      <c r="F314" s="189">
        <v>45</v>
      </c>
      <c r="G314" s="190">
        <v>46091</v>
      </c>
      <c r="H314" s="191">
        <v>24</v>
      </c>
      <c r="I314" s="192">
        <f>Table1[[#This Row],[SỐ LƯỢNG ]]*1000</f>
        <v>45000</v>
      </c>
      <c r="J314" s="192">
        <v>330000</v>
      </c>
      <c r="K314" s="193">
        <f>Table1[[#This Row],[SỐ LƯỢNG ]]*Table1[[#This Row],[ĐƠN GIÁ /1 KG]]</f>
        <v>14850000</v>
      </c>
      <c r="L314" s="192"/>
      <c r="M314" s="192"/>
      <c r="N314" s="192"/>
      <c r="O314" s="192"/>
      <c r="P314" s="192"/>
      <c r="Q314" s="192"/>
      <c r="R314" s="192"/>
      <c r="S314" s="192"/>
      <c r="T314" s="192"/>
      <c r="U314" s="192"/>
      <c r="V314" s="192"/>
      <c r="W314" s="192"/>
      <c r="X314" s="192"/>
      <c r="Y314" s="194"/>
      <c r="Z314" s="194"/>
      <c r="AA314" s="194"/>
      <c r="AB314" s="194"/>
      <c r="AC314" s="194"/>
      <c r="AD314" s="195"/>
      <c r="AE314" s="195"/>
      <c r="AF314" s="195"/>
      <c r="AG314" s="195"/>
      <c r="AH314" s="195"/>
      <c r="AI314" s="195"/>
      <c r="AJ314" s="192"/>
      <c r="AK314" s="192"/>
      <c r="AL314" s="192"/>
      <c r="AM314" s="192"/>
      <c r="AN314" s="192"/>
      <c r="AO314" s="196">
        <f>Table1[[#This Row],[QUY ĐỔI GRAM]]-SUM(Table1[[#This Row],[XK ĐỒNG TÂM]:[XK LSX 8]])</f>
        <v>45000</v>
      </c>
      <c r="AP314" s="197">
        <f>Table1[[#This Row],[CÒN LẠI (gram)]]*Table1[[#This Row],[ĐƠN GIÁ /1 KG]]/1000</f>
        <v>14850000</v>
      </c>
      <c r="AQ314" s="88" t="s">
        <v>218</v>
      </c>
      <c r="AR314" s="187"/>
      <c r="AS314" s="187"/>
      <c r="AT314" s="187"/>
      <c r="AU314" s="187"/>
    </row>
    <row r="315" spans="1:47" ht="25.5" customHeight="1" x14ac:dyDescent="0.35">
      <c r="A315" s="163">
        <v>312</v>
      </c>
      <c r="B315" s="186" t="s">
        <v>294</v>
      </c>
      <c r="C315" s="187"/>
      <c r="D315" s="198" t="s">
        <v>416</v>
      </c>
      <c r="E315" s="15" t="s">
        <v>17</v>
      </c>
      <c r="F315" s="189">
        <v>20</v>
      </c>
      <c r="G315" s="190">
        <v>46091</v>
      </c>
      <c r="H315" s="191">
        <v>24</v>
      </c>
      <c r="I315" s="192">
        <f>Table1[[#This Row],[SỐ LƯỢNG ]]*1000</f>
        <v>20000</v>
      </c>
      <c r="J315" s="192">
        <v>800000</v>
      </c>
      <c r="K315" s="193">
        <f>Table1[[#This Row],[SỐ LƯỢNG ]]*Table1[[#This Row],[ĐƠN GIÁ /1 KG]]</f>
        <v>16000000</v>
      </c>
      <c r="L315" s="192"/>
      <c r="M315" s="192"/>
      <c r="N315" s="192"/>
      <c r="O315" s="192"/>
      <c r="P315" s="192"/>
      <c r="Q315" s="192"/>
      <c r="R315" s="192"/>
      <c r="S315" s="192"/>
      <c r="T315" s="192"/>
      <c r="U315" s="192"/>
      <c r="V315" s="192"/>
      <c r="W315" s="192"/>
      <c r="X315" s="192"/>
      <c r="Y315" s="194"/>
      <c r="Z315" s="194"/>
      <c r="AA315" s="194"/>
      <c r="AB315" s="194"/>
      <c r="AC315" s="194"/>
      <c r="AD315" s="195"/>
      <c r="AE315" s="195"/>
      <c r="AF315" s="195"/>
      <c r="AG315" s="195"/>
      <c r="AH315" s="195"/>
      <c r="AI315" s="195"/>
      <c r="AJ315" s="192"/>
      <c r="AK315" s="192"/>
      <c r="AL315" s="192"/>
      <c r="AM315" s="192"/>
      <c r="AN315" s="192"/>
      <c r="AO315" s="196">
        <f>Table1[[#This Row],[QUY ĐỔI GRAM]]-SUM(Table1[[#This Row],[XK ĐỒNG TÂM]:[XK LSX 8]])</f>
        <v>20000</v>
      </c>
      <c r="AP315" s="197">
        <f>Table1[[#This Row],[CÒN LẠI (gram)]]*Table1[[#This Row],[ĐƠN GIÁ /1 KG]]/1000</f>
        <v>16000000</v>
      </c>
      <c r="AQ315" s="88" t="s">
        <v>218</v>
      </c>
      <c r="AR315" s="187"/>
      <c r="AS315" s="187"/>
      <c r="AT315" s="187"/>
      <c r="AU315" s="187"/>
    </row>
    <row r="316" spans="1:47" ht="25.5" customHeight="1" x14ac:dyDescent="0.35">
      <c r="A316" s="163">
        <v>313</v>
      </c>
      <c r="B316" s="186" t="s">
        <v>268</v>
      </c>
      <c r="C316" s="187"/>
      <c r="D316" s="48" t="s">
        <v>432</v>
      </c>
      <c r="E316" s="15" t="s">
        <v>17</v>
      </c>
      <c r="F316" s="189">
        <v>0.05</v>
      </c>
      <c r="G316" s="190">
        <v>46091</v>
      </c>
      <c r="H316" s="191">
        <v>780</v>
      </c>
      <c r="I316" s="192">
        <f>Table1[[#This Row],[SỐ LƯỢNG ]]*1000</f>
        <v>50</v>
      </c>
      <c r="J316" s="192">
        <v>20000000</v>
      </c>
      <c r="K316" s="193">
        <f>Table1[[#This Row],[SỐ LƯỢNG ]]*Table1[[#This Row],[ĐƠN GIÁ /1 KG]]</f>
        <v>1000000</v>
      </c>
      <c r="L316" s="192"/>
      <c r="M316" s="192"/>
      <c r="N316" s="192"/>
      <c r="O316" s="192"/>
      <c r="P316" s="192"/>
      <c r="Q316" s="192"/>
      <c r="R316" s="192"/>
      <c r="S316" s="192"/>
      <c r="T316" s="192"/>
      <c r="U316" s="192"/>
      <c r="V316" s="192"/>
      <c r="W316" s="192"/>
      <c r="X316" s="192"/>
      <c r="Y316" s="194"/>
      <c r="Z316" s="194"/>
      <c r="AA316" s="194"/>
      <c r="AB316" s="194"/>
      <c r="AC316" s="194"/>
      <c r="AD316" s="195"/>
      <c r="AE316" s="195"/>
      <c r="AF316" s="195"/>
      <c r="AG316" s="195"/>
      <c r="AH316" s="195"/>
      <c r="AI316" s="195"/>
      <c r="AJ316" s="192"/>
      <c r="AK316" s="192"/>
      <c r="AL316" s="192"/>
      <c r="AM316" s="192"/>
      <c r="AN316" s="192"/>
      <c r="AO316" s="196">
        <f>Table1[[#This Row],[QUY ĐỔI GRAM]]-SUM(Table1[[#This Row],[XK ĐỒNG TÂM]:[XK LSX 8]])</f>
        <v>50</v>
      </c>
      <c r="AP316" s="197">
        <f>Table1[[#This Row],[CÒN LẠI (gram)]]*Table1[[#This Row],[ĐƠN GIÁ /1 KG]]/1000</f>
        <v>1000000</v>
      </c>
      <c r="AQ316" s="47" t="s">
        <v>269</v>
      </c>
      <c r="AR316" s="187"/>
      <c r="AS316" s="187"/>
      <c r="AT316" s="187"/>
      <c r="AU316" s="187"/>
    </row>
    <row r="317" spans="1:47" x14ac:dyDescent="0.35">
      <c r="A317" s="163">
        <v>314</v>
      </c>
      <c r="B317" s="53"/>
      <c r="C317" s="20"/>
      <c r="D317" s="8"/>
      <c r="E317" s="15"/>
      <c r="F317" s="43"/>
      <c r="G317" s="52"/>
      <c r="H317" s="26"/>
      <c r="I317" s="44">
        <f>Table1[[#This Row],[SỐ LƯỢNG ]]*1000</f>
        <v>0</v>
      </c>
      <c r="J317" s="44"/>
      <c r="K317" s="16">
        <f>Table1[[#This Row],[SỐ LƯỢNG ]]*Table1[[#This Row],[ĐƠN GIÁ /1 KG]]</f>
        <v>0</v>
      </c>
      <c r="L317" s="44"/>
      <c r="M317" s="44"/>
      <c r="N317" s="44"/>
      <c r="O317" s="44"/>
      <c r="P317" s="44"/>
      <c r="Q317" s="44"/>
      <c r="R317" s="44"/>
      <c r="S317" s="44"/>
      <c r="T317" s="44"/>
      <c r="U317" s="44"/>
      <c r="V317" s="44"/>
      <c r="W317" s="44"/>
      <c r="X317" s="44"/>
      <c r="Y317" s="50"/>
      <c r="Z317" s="50"/>
      <c r="AA317" s="50"/>
      <c r="AB317" s="50"/>
      <c r="AC317" s="50"/>
      <c r="AD317" s="73"/>
      <c r="AE317" s="73"/>
      <c r="AF317" s="73"/>
      <c r="AG317" s="73"/>
      <c r="AH317" s="73"/>
      <c r="AI317" s="73"/>
      <c r="AJ317" s="44"/>
      <c r="AK317" s="44"/>
      <c r="AL317" s="44"/>
      <c r="AM317" s="44"/>
      <c r="AN317" s="44"/>
      <c r="AO317" s="45">
        <f>Table1[[#This Row],[QUY ĐỔI GRAM]]-SUM(Table1[[#This Row],[XK ĐỒNG TÂM]:[XK LSX 8]])</f>
        <v>0</v>
      </c>
      <c r="AP317" s="51">
        <f>Table1[[#This Row],[CÒN LẠI (gram)]]*Table1[[#This Row],[ĐƠN GIÁ /1 KG]]/1000</f>
        <v>0</v>
      </c>
      <c r="AQ317" s="3"/>
      <c r="AR317" s="20"/>
      <c r="AS317" s="20"/>
      <c r="AT317" s="20"/>
      <c r="AU317" s="20"/>
    </row>
    <row r="318" spans="1:47" x14ac:dyDescent="0.35">
      <c r="A318" s="163">
        <v>315</v>
      </c>
      <c r="B318" s="53"/>
      <c r="C318" s="20"/>
      <c r="D318" s="8"/>
      <c r="E318" s="15"/>
      <c r="F318" s="43"/>
      <c r="G318" s="52"/>
      <c r="H318" s="26"/>
      <c r="I318" s="44">
        <f>Table1[[#This Row],[SỐ LƯỢNG ]]*1000</f>
        <v>0</v>
      </c>
      <c r="J318" s="44"/>
      <c r="K318" s="16">
        <f>Table1[[#This Row],[SỐ LƯỢNG ]]*Table1[[#This Row],[ĐƠN GIÁ /1 KG]]</f>
        <v>0</v>
      </c>
      <c r="L318" s="44"/>
      <c r="M318" s="44"/>
      <c r="N318" s="44"/>
      <c r="O318" s="44"/>
      <c r="P318" s="44"/>
      <c r="Q318" s="44"/>
      <c r="R318" s="44"/>
      <c r="S318" s="44"/>
      <c r="T318" s="44"/>
      <c r="U318" s="44"/>
      <c r="V318" s="44"/>
      <c r="W318" s="44"/>
      <c r="X318" s="44"/>
      <c r="Y318" s="50"/>
      <c r="Z318" s="50"/>
      <c r="AA318" s="50"/>
      <c r="AB318" s="50"/>
      <c r="AC318" s="50"/>
      <c r="AD318" s="73"/>
      <c r="AE318" s="73"/>
      <c r="AF318" s="73"/>
      <c r="AG318" s="73"/>
      <c r="AH318" s="73"/>
      <c r="AI318" s="73"/>
      <c r="AJ318" s="44"/>
      <c r="AK318" s="44"/>
      <c r="AL318" s="44"/>
      <c r="AM318" s="44"/>
      <c r="AN318" s="44"/>
      <c r="AO318" s="45">
        <f>Table1[[#This Row],[QUY ĐỔI GRAM]]-SUM(Table1[[#This Row],[XK ĐỒNG TÂM]:[XK LSX 8]])</f>
        <v>0</v>
      </c>
      <c r="AP318" s="51">
        <f>Table1[[#This Row],[CÒN LẠI (gram)]]*Table1[[#This Row],[ĐƠN GIÁ /1 KG]]/1000</f>
        <v>0</v>
      </c>
      <c r="AQ318" s="3"/>
      <c r="AR318" s="20"/>
      <c r="AS318" s="20"/>
      <c r="AT318" s="20"/>
      <c r="AU318" s="20"/>
    </row>
    <row r="319" spans="1:47" x14ac:dyDescent="0.35">
      <c r="A319" s="54"/>
      <c r="B319" s="99" t="s">
        <v>439</v>
      </c>
      <c r="C319" s="55"/>
      <c r="D319" s="56"/>
      <c r="E319" s="57"/>
      <c r="F319" s="58"/>
      <c r="G319" s="55"/>
      <c r="H319" s="70"/>
      <c r="I319" s="59">
        <f>Table1[[#This Row],[SỐ LƯỢNG ]]*1000</f>
        <v>0</v>
      </c>
      <c r="J319" s="59"/>
      <c r="K319" s="16">
        <f>Table1[[#This Row],[SỐ LƯỢNG ]]*Table1[[#This Row],[ĐƠN GIÁ /1 KG]]</f>
        <v>0</v>
      </c>
      <c r="L319" s="59"/>
      <c r="M319" s="59"/>
      <c r="N319" s="59"/>
      <c r="O319" s="59"/>
      <c r="P319" s="59"/>
      <c r="Q319" s="59"/>
      <c r="R319" s="59"/>
      <c r="S319" s="59"/>
      <c r="T319" s="44"/>
      <c r="U319" s="44"/>
      <c r="V319" s="44"/>
      <c r="W319" s="44"/>
      <c r="X319" s="44"/>
      <c r="Y319" s="44"/>
      <c r="Z319" s="44"/>
      <c r="AA319" s="44"/>
      <c r="AB319" s="44"/>
      <c r="AC319" s="44"/>
      <c r="AD319" s="44"/>
      <c r="AE319" s="44"/>
      <c r="AF319" s="44"/>
      <c r="AG319" s="44"/>
      <c r="AH319" s="44"/>
      <c r="AI319" s="44"/>
      <c r="AJ319" s="44"/>
      <c r="AK319" s="44"/>
      <c r="AL319" s="44"/>
      <c r="AM319" s="44"/>
      <c r="AN319" s="59"/>
      <c r="AO319" s="60">
        <f>Table1[[#This Row],[QUY ĐỔI GRAM]]-SUM(Table1[[#This Row],[XK ĐỒNG TÂM]:[XK LSX 8]])</f>
        <v>0</v>
      </c>
      <c r="AP319" s="98">
        <f>SUBTOTAL(109,AP4:AP318)</f>
        <v>1302935248.2865276</v>
      </c>
      <c r="AQ319" s="55"/>
      <c r="AR319" s="55"/>
      <c r="AS319" s="61"/>
      <c r="AT319" s="55"/>
      <c r="AU319" s="55"/>
    </row>
    <row r="320" spans="1:47" x14ac:dyDescent="0.35">
      <c r="A320" s="54"/>
      <c r="B320" s="55"/>
      <c r="C320" s="55"/>
      <c r="D320" s="56"/>
      <c r="E320" s="57"/>
      <c r="F320" s="58"/>
      <c r="G320" s="55"/>
      <c r="H320" s="70"/>
      <c r="I320" s="59">
        <f>Table1[[#This Row],[SỐ LƯỢNG ]]*1000</f>
        <v>0</v>
      </c>
      <c r="J320" s="59"/>
      <c r="K320" s="16">
        <f>Table1[[#This Row],[SỐ LƯỢNG ]]*Table1[[#This Row],[ĐƠN GIÁ /1 KG]]</f>
        <v>0</v>
      </c>
      <c r="L320" s="59"/>
      <c r="M320" s="59"/>
      <c r="N320" s="59"/>
      <c r="O320" s="59"/>
      <c r="P320" s="59"/>
      <c r="Q320" s="59"/>
      <c r="R320" s="59"/>
      <c r="S320" s="59"/>
      <c r="T320" s="44"/>
      <c r="U320" s="44"/>
      <c r="V320" s="44"/>
      <c r="W320" s="44"/>
      <c r="X320" s="44"/>
      <c r="Y320" s="50"/>
      <c r="Z320" s="50"/>
      <c r="AA320" s="50"/>
      <c r="AB320" s="50"/>
      <c r="AC320" s="50"/>
      <c r="AD320" s="50"/>
      <c r="AE320" s="50"/>
      <c r="AF320" s="50"/>
      <c r="AG320" s="50"/>
      <c r="AH320" s="50"/>
      <c r="AI320" s="50"/>
      <c r="AJ320" s="44"/>
      <c r="AK320" s="44"/>
      <c r="AL320" s="44"/>
      <c r="AM320" s="44"/>
      <c r="AN320" s="59"/>
      <c r="AO320" s="60">
        <f>Table1[[#This Row],[QUY ĐỔI GRAM]]-SUM(Table1[[#This Row],[XK ĐỒNG TÂM]:[XK LSX 8]])</f>
        <v>0</v>
      </c>
      <c r="AP320" s="51">
        <f>Table1[[#This Row],[CÒN LẠI (gram)]]*Table1[[#This Row],[ĐƠN GIÁ /1 KG]]/1000</f>
        <v>0</v>
      </c>
      <c r="AQ320" s="55"/>
      <c r="AR320" s="55"/>
      <c r="AS320" s="61"/>
      <c r="AT320" s="55"/>
      <c r="AU320" s="55"/>
    </row>
    <row r="321" spans="1:47" x14ac:dyDescent="0.35">
      <c r="A321" s="54"/>
      <c r="B321" s="55"/>
      <c r="C321" s="55"/>
      <c r="D321" s="56"/>
      <c r="E321" s="57"/>
      <c r="F321" s="58"/>
      <c r="G321" s="55"/>
      <c r="H321" s="70"/>
      <c r="I321" s="59">
        <f>Table1[[#This Row],[SỐ LƯỢNG ]]*1000</f>
        <v>0</v>
      </c>
      <c r="J321" s="59"/>
      <c r="K321" s="16">
        <f>Table1[[#This Row],[SỐ LƯỢNG ]]*Table1[[#This Row],[ĐƠN GIÁ /1 KG]]</f>
        <v>0</v>
      </c>
      <c r="L321" s="59"/>
      <c r="M321" s="59"/>
      <c r="N321" s="59"/>
      <c r="O321" s="59"/>
      <c r="P321" s="59"/>
      <c r="Q321" s="59"/>
      <c r="R321" s="59"/>
      <c r="S321" s="59"/>
      <c r="T321" s="44"/>
      <c r="U321" s="44"/>
      <c r="V321" s="44"/>
      <c r="W321" s="44"/>
      <c r="X321" s="44"/>
      <c r="Y321" s="73"/>
      <c r="Z321" s="73"/>
      <c r="AA321" s="73"/>
      <c r="AB321" s="73"/>
      <c r="AC321" s="73"/>
      <c r="AD321" s="73"/>
      <c r="AE321" s="73"/>
      <c r="AF321" s="73"/>
      <c r="AG321" s="73"/>
      <c r="AH321" s="73"/>
      <c r="AI321" s="73"/>
      <c r="AJ321" s="44"/>
      <c r="AK321" s="44"/>
      <c r="AL321" s="44"/>
      <c r="AM321" s="44"/>
      <c r="AN321" s="59"/>
      <c r="AO321" s="60">
        <f>Table1[[#This Row],[QUY ĐỔI GRAM]]-SUM(Table1[[#This Row],[XK ĐỒNG TÂM]:[XK LSX 8]])</f>
        <v>0</v>
      </c>
      <c r="AP321" s="74">
        <f>Table1[[#This Row],[CÒN LẠI (gram)]]*Table1[[#This Row],[ĐƠN GIÁ /1 KG]]/1000</f>
        <v>0</v>
      </c>
      <c r="AQ321" s="55"/>
      <c r="AR321" s="55"/>
      <c r="AS321" s="61"/>
      <c r="AT321" s="55"/>
      <c r="AU321" s="55"/>
    </row>
    <row r="322" spans="1:47" x14ac:dyDescent="0.35">
      <c r="A322" s="54"/>
      <c r="B322" s="55"/>
      <c r="C322" s="55"/>
      <c r="D322" s="56"/>
      <c r="E322" s="57"/>
      <c r="F322" s="58"/>
      <c r="G322" s="55"/>
      <c r="H322" s="70"/>
      <c r="I322" s="59">
        <f>Table1[[#This Row],[SỐ LƯỢNG ]]*1000</f>
        <v>0</v>
      </c>
      <c r="J322" s="59"/>
      <c r="K322" s="16">
        <f>Table1[[#This Row],[SỐ LƯỢNG ]]*Table1[[#This Row],[ĐƠN GIÁ /1 KG]]</f>
        <v>0</v>
      </c>
      <c r="L322" s="59"/>
      <c r="M322" s="59"/>
      <c r="N322" s="59"/>
      <c r="O322" s="59"/>
      <c r="P322" s="59"/>
      <c r="Q322" s="59"/>
      <c r="R322" s="59"/>
      <c r="S322" s="59"/>
      <c r="T322" s="44"/>
      <c r="U322" s="44"/>
      <c r="V322" s="44"/>
      <c r="W322" s="44"/>
      <c r="X322" s="44"/>
      <c r="Y322" s="73"/>
      <c r="Z322" s="73"/>
      <c r="AA322" s="73"/>
      <c r="AB322" s="73"/>
      <c r="AC322" s="73"/>
      <c r="AD322" s="73"/>
      <c r="AE322" s="73"/>
      <c r="AF322" s="73"/>
      <c r="AG322" s="73"/>
      <c r="AH322" s="73"/>
      <c r="AI322" s="73"/>
      <c r="AJ322" s="44"/>
      <c r="AK322" s="44"/>
      <c r="AL322" s="44"/>
      <c r="AM322" s="44"/>
      <c r="AN322" s="59"/>
      <c r="AO322" s="60">
        <f>Table1[[#This Row],[QUY ĐỔI GRAM]]-SUM(Table1[[#This Row],[XK ĐỒNG TÂM]:[XK LSX 8]])</f>
        <v>0</v>
      </c>
      <c r="AP322" s="74">
        <f>Table1[[#This Row],[CÒN LẠI (gram)]]*Table1[[#This Row],[ĐƠN GIÁ /1 KG]]/1000</f>
        <v>0</v>
      </c>
      <c r="AQ322" s="55"/>
      <c r="AR322" s="55"/>
      <c r="AS322" s="61"/>
      <c r="AT322" s="55"/>
      <c r="AU322" s="55"/>
    </row>
    <row r="323" spans="1:47" x14ac:dyDescent="0.35">
      <c r="A323" s="54"/>
      <c r="B323" s="55"/>
      <c r="C323" s="55"/>
      <c r="D323" s="56"/>
      <c r="E323" s="57"/>
      <c r="F323" s="58"/>
      <c r="G323" s="55"/>
      <c r="H323" s="70"/>
      <c r="I323" s="59">
        <f>Table1[[#This Row],[SỐ LƯỢNG ]]*1000</f>
        <v>0</v>
      </c>
      <c r="J323" s="59"/>
      <c r="K323" s="16">
        <f>Table1[[#This Row],[SỐ LƯỢNG ]]*Table1[[#This Row],[ĐƠN GIÁ /1 KG]]</f>
        <v>0</v>
      </c>
      <c r="L323" s="59"/>
      <c r="M323" s="59"/>
      <c r="N323" s="59"/>
      <c r="O323" s="59"/>
      <c r="P323" s="59"/>
      <c r="Q323" s="59"/>
      <c r="R323" s="59"/>
      <c r="S323" s="59"/>
      <c r="T323" s="44"/>
      <c r="U323" s="44"/>
      <c r="V323" s="44"/>
      <c r="W323" s="44"/>
      <c r="X323" s="44"/>
      <c r="Y323" s="73"/>
      <c r="Z323" s="73"/>
      <c r="AA323" s="73"/>
      <c r="AB323" s="73"/>
      <c r="AC323" s="73"/>
      <c r="AD323" s="73"/>
      <c r="AE323" s="73"/>
      <c r="AF323" s="73"/>
      <c r="AG323" s="73"/>
      <c r="AH323" s="73"/>
      <c r="AI323" s="73"/>
      <c r="AJ323" s="44"/>
      <c r="AK323" s="44"/>
      <c r="AL323" s="44"/>
      <c r="AM323" s="44"/>
      <c r="AN323" s="59"/>
      <c r="AO323" s="60">
        <f>Table1[[#This Row],[QUY ĐỔI GRAM]]-SUM(Table1[[#This Row],[XK ĐỒNG TÂM]:[XK LSX 8]])</f>
        <v>0</v>
      </c>
      <c r="AP323" s="74">
        <f>Table1[[#This Row],[CÒN LẠI (gram)]]*Table1[[#This Row],[ĐƠN GIÁ /1 KG]]/1000</f>
        <v>0</v>
      </c>
      <c r="AQ323" s="55"/>
      <c r="AR323" s="55"/>
      <c r="AS323" s="61"/>
      <c r="AT323" s="55"/>
      <c r="AU323" s="55"/>
    </row>
    <row r="324" spans="1:47" x14ac:dyDescent="0.35">
      <c r="A324" s="54"/>
      <c r="B324" s="55"/>
      <c r="C324" s="55"/>
      <c r="D324" s="56"/>
      <c r="E324" s="57"/>
      <c r="F324" s="58"/>
      <c r="G324" s="55"/>
      <c r="H324" s="70"/>
      <c r="I324" s="59">
        <f>Table1[[#This Row],[SỐ LƯỢNG ]]*1000</f>
        <v>0</v>
      </c>
      <c r="J324" s="59"/>
      <c r="K324" s="16">
        <f>Table1[[#This Row],[SỐ LƯỢNG ]]*Table1[[#This Row],[ĐƠN GIÁ /1 KG]]</f>
        <v>0</v>
      </c>
      <c r="L324" s="59"/>
      <c r="M324" s="59"/>
      <c r="N324" s="59"/>
      <c r="O324" s="59"/>
      <c r="P324" s="59"/>
      <c r="Q324" s="59"/>
      <c r="R324" s="59"/>
      <c r="S324" s="59"/>
      <c r="T324" s="44"/>
      <c r="U324" s="44"/>
      <c r="V324" s="44"/>
      <c r="W324" s="44"/>
      <c r="X324" s="44"/>
      <c r="Y324" s="73"/>
      <c r="Z324" s="73"/>
      <c r="AA324" s="73"/>
      <c r="AB324" s="73"/>
      <c r="AC324" s="73"/>
      <c r="AD324" s="73"/>
      <c r="AE324" s="73"/>
      <c r="AF324" s="73"/>
      <c r="AG324" s="73"/>
      <c r="AH324" s="73"/>
      <c r="AI324" s="73"/>
      <c r="AJ324" s="44"/>
      <c r="AK324" s="44"/>
      <c r="AL324" s="44"/>
      <c r="AM324" s="44"/>
      <c r="AN324" s="59"/>
      <c r="AO324" s="60">
        <f>Table1[[#This Row],[QUY ĐỔI GRAM]]-SUM(Table1[[#This Row],[XK ĐỒNG TÂM]:[XK LSX 8]])</f>
        <v>0</v>
      </c>
      <c r="AP324" s="74">
        <f>Table1[[#This Row],[CÒN LẠI (gram)]]*Table1[[#This Row],[ĐƠN GIÁ /1 KG]]/1000</f>
        <v>0</v>
      </c>
      <c r="AQ324" s="55"/>
      <c r="AR324" s="55"/>
      <c r="AS324" s="61"/>
      <c r="AT324" s="55"/>
      <c r="AU324" s="55"/>
    </row>
    <row r="325" spans="1:47" x14ac:dyDescent="0.35">
      <c r="A325" s="54"/>
      <c r="B325" s="55"/>
      <c r="C325" s="55"/>
      <c r="D325" s="56"/>
      <c r="E325" s="57"/>
      <c r="F325" s="58"/>
      <c r="G325" s="55"/>
      <c r="H325" s="70"/>
      <c r="I325" s="59">
        <f>Table1[[#This Row],[SỐ LƯỢNG ]]*1000</f>
        <v>0</v>
      </c>
      <c r="J325" s="59"/>
      <c r="K325" s="16">
        <f>Table1[[#This Row],[SỐ LƯỢNG ]]*Table1[[#This Row],[ĐƠN GIÁ /1 KG]]</f>
        <v>0</v>
      </c>
      <c r="L325" s="59"/>
      <c r="M325" s="59"/>
      <c r="N325" s="59"/>
      <c r="O325" s="59"/>
      <c r="P325" s="59"/>
      <c r="Q325" s="59"/>
      <c r="R325" s="59"/>
      <c r="S325" s="59"/>
      <c r="T325" s="44"/>
      <c r="U325" s="44"/>
      <c r="V325" s="44"/>
      <c r="W325" s="44"/>
      <c r="X325" s="44"/>
      <c r="Y325" s="73"/>
      <c r="Z325" s="73"/>
      <c r="AA325" s="73"/>
      <c r="AB325" s="73"/>
      <c r="AC325" s="73"/>
      <c r="AD325" s="73"/>
      <c r="AE325" s="73"/>
      <c r="AF325" s="73"/>
      <c r="AG325" s="73"/>
      <c r="AH325" s="73"/>
      <c r="AI325" s="73"/>
      <c r="AJ325" s="44"/>
      <c r="AK325" s="44"/>
      <c r="AL325" s="44"/>
      <c r="AM325" s="44"/>
      <c r="AN325" s="59"/>
      <c r="AO325" s="60">
        <f>Table1[[#This Row],[QUY ĐỔI GRAM]]-SUM(Table1[[#This Row],[XK ĐỒNG TÂM]:[XK LSX 8]])</f>
        <v>0</v>
      </c>
      <c r="AP325" s="74">
        <f>Table1[[#This Row],[CÒN LẠI (gram)]]*Table1[[#This Row],[ĐƠN GIÁ /1 KG]]/1000</f>
        <v>0</v>
      </c>
      <c r="AQ325" s="55"/>
      <c r="AR325" s="55"/>
      <c r="AS325" s="61"/>
      <c r="AT325" s="55"/>
      <c r="AU325" s="55"/>
    </row>
    <row r="326" spans="1:47" x14ac:dyDescent="0.35">
      <c r="A326" s="54"/>
      <c r="B326" s="55"/>
      <c r="C326" s="55"/>
      <c r="D326" s="56"/>
      <c r="E326" s="57"/>
      <c r="F326" s="58"/>
      <c r="G326" s="55"/>
      <c r="H326" s="70"/>
      <c r="I326" s="59">
        <f>Table1[[#This Row],[SỐ LƯỢNG ]]*1000</f>
        <v>0</v>
      </c>
      <c r="J326" s="59"/>
      <c r="K326" s="16">
        <f>Table1[[#This Row],[SỐ LƯỢNG ]]*Table1[[#This Row],[ĐƠN GIÁ /1 KG]]</f>
        <v>0</v>
      </c>
      <c r="L326" s="59"/>
      <c r="M326" s="59"/>
      <c r="N326" s="59"/>
      <c r="O326" s="59"/>
      <c r="P326" s="59"/>
      <c r="Q326" s="59"/>
      <c r="R326" s="59"/>
      <c r="S326" s="59"/>
      <c r="T326" s="44"/>
      <c r="U326" s="44"/>
      <c r="V326" s="44"/>
      <c r="W326" s="44"/>
      <c r="X326" s="44"/>
      <c r="Y326" s="73"/>
      <c r="Z326" s="73"/>
      <c r="AA326" s="73"/>
      <c r="AB326" s="73"/>
      <c r="AC326" s="73"/>
      <c r="AD326" s="73"/>
      <c r="AE326" s="73"/>
      <c r="AF326" s="73"/>
      <c r="AG326" s="73"/>
      <c r="AH326" s="73"/>
      <c r="AI326" s="73"/>
      <c r="AJ326" s="44"/>
      <c r="AK326" s="44"/>
      <c r="AL326" s="44"/>
      <c r="AM326" s="44"/>
      <c r="AN326" s="59"/>
      <c r="AO326" s="60">
        <f>Table1[[#This Row],[QUY ĐỔI GRAM]]-SUM(Table1[[#This Row],[XK ĐỒNG TÂM]:[XK LSX 8]])</f>
        <v>0</v>
      </c>
      <c r="AP326" s="74">
        <f>Table1[[#This Row],[CÒN LẠI (gram)]]*Table1[[#This Row],[ĐƠN GIÁ /1 KG]]/1000</f>
        <v>0</v>
      </c>
      <c r="AQ326" s="55"/>
      <c r="AR326" s="55"/>
      <c r="AS326" s="61"/>
      <c r="AT326" s="55"/>
      <c r="AU326" s="55"/>
    </row>
    <row r="327" spans="1:47" x14ac:dyDescent="0.35">
      <c r="A327" s="75"/>
      <c r="B327" s="76"/>
      <c r="C327" s="76"/>
      <c r="D327" s="77"/>
      <c r="E327" s="78"/>
      <c r="F327" s="79"/>
      <c r="G327" s="76"/>
      <c r="H327" s="80"/>
      <c r="I327" s="81">
        <f>Table1[[#This Row],[SỐ LƯỢNG ]]*1000</f>
        <v>0</v>
      </c>
      <c r="J327" s="81"/>
      <c r="K327" s="16">
        <f>Table1[[#This Row],[SỐ LƯỢNG ]]*Table1[[#This Row],[ĐƠN GIÁ /1 KG]]</f>
        <v>0</v>
      </c>
      <c r="L327" s="81"/>
      <c r="M327" s="81"/>
      <c r="N327" s="81"/>
      <c r="O327" s="81"/>
      <c r="P327" s="81"/>
      <c r="Q327" s="81"/>
      <c r="R327" s="81"/>
      <c r="S327" s="81"/>
      <c r="T327" s="50"/>
      <c r="U327" s="50"/>
      <c r="V327" s="50"/>
      <c r="W327" s="50"/>
      <c r="X327" s="50"/>
      <c r="Y327" s="73"/>
      <c r="Z327" s="73"/>
      <c r="AA327" s="73"/>
      <c r="AB327" s="73"/>
      <c r="AC327" s="73"/>
      <c r="AD327" s="73"/>
      <c r="AE327" s="73"/>
      <c r="AF327" s="73"/>
      <c r="AG327" s="73"/>
      <c r="AH327" s="73"/>
      <c r="AI327" s="73"/>
      <c r="AJ327" s="44"/>
      <c r="AK327" s="44"/>
      <c r="AL327" s="44"/>
      <c r="AM327" s="44"/>
      <c r="AN327" s="81"/>
      <c r="AO327" s="82">
        <f>Table1[[#This Row],[QUY ĐỔI GRAM]]-SUM(Table1[[#This Row],[XK ĐỒNG TÂM]:[XK LSX 8]])</f>
        <v>0</v>
      </c>
      <c r="AP327" s="74">
        <f>Table1[[#This Row],[CÒN LẠI (gram)]]*Table1[[#This Row],[ĐƠN GIÁ /1 KG]]/1000</f>
        <v>0</v>
      </c>
      <c r="AQ327" s="76"/>
      <c r="AR327" s="76"/>
      <c r="AS327" s="83"/>
      <c r="AT327" s="76"/>
      <c r="AU327" s="76"/>
    </row>
    <row r="329" spans="1:47" x14ac:dyDescent="0.35">
      <c r="B329" s="183"/>
      <c r="C329" s="183"/>
      <c r="D329" s="184"/>
      <c r="E329" s="183"/>
      <c r="F329" s="183"/>
    </row>
    <row r="330" spans="1:47" x14ac:dyDescent="0.35">
      <c r="B330" s="183"/>
      <c r="C330" s="183"/>
      <c r="D330" s="184"/>
      <c r="E330" s="183"/>
      <c r="F330" s="183"/>
    </row>
    <row r="331" spans="1:47" x14ac:dyDescent="0.35">
      <c r="B331" s="183"/>
      <c r="C331" s="183"/>
      <c r="D331" s="184"/>
      <c r="E331" s="183"/>
      <c r="F331" s="183"/>
    </row>
    <row r="332" spans="1:47" x14ac:dyDescent="0.35">
      <c r="E332" s="183"/>
      <c r="F332" s="183"/>
    </row>
  </sheetData>
  <phoneticPr fontId="18" type="noConversion"/>
  <pageMargins left="0.7" right="0.7" top="0.75" bottom="0.75" header="0.3" footer="0.3"/>
  <pageSetup orientation="portrait"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TRUONG</dc:creator>
  <cp:lastModifiedBy>Trang Truong</cp:lastModifiedBy>
  <dcterms:created xsi:type="dcterms:W3CDTF">2025-09-20T04:42:11Z</dcterms:created>
  <dcterms:modified xsi:type="dcterms:W3CDTF">2026-03-21T15:06:21Z</dcterms:modified>
</cp:coreProperties>
</file>