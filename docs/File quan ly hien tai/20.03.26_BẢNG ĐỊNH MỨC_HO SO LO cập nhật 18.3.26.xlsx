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CHI NHÁNH LONG AN\TRINH\"/>
    </mc:Choice>
  </mc:AlternateContent>
  <xr:revisionPtr revIDLastSave="0" documentId="8_{7E4A4B72-0C4B-4B97-A1C7-989A72571235}" xr6:coauthVersionLast="47" xr6:coauthVersionMax="47" xr10:uidLastSave="{00000000-0000-0000-0000-000000000000}"/>
  <bookViews>
    <workbookView xWindow="-110" yWindow="-110" windowWidth="25820" windowHeight="15500" xr2:uid="{00000000-000D-0000-FFFF-FFFF00000000}"/>
  </bookViews>
  <sheets>
    <sheet name="CTY ZENCOS MẸ (BÁNHMÌ CẬUVÀNG)" sheetId="2" r:id="rId1"/>
    <sheet name="CTY OHELAH" sheetId="3" r:id="rId2"/>
    <sheet name="CTY GIA KỲ" sheetId="1" r:id="rId3"/>
    <sheet name="CTY ĐỒNG TÂM" sheetId="4" r:id="rId4"/>
    <sheet name="CTY CAO GỪNG HOÀNG CUNG" sheetId="5" r:id="rId5"/>
    <sheet name="CTY CARROT" sheetId="6" r:id="rId6"/>
    <sheet name="CTY LALA" sheetId="7" r:id="rId7"/>
    <sheet name="CTY VITA" sheetId="8" r:id="rId8"/>
    <sheet name="NOE - NUOC TAY TRANG" sheetId="9" r:id="rId9"/>
    <sheet name="DC - KEM MUN 1" sheetId="10" r:id="rId10"/>
    <sheet name="THANH HA - KEM FACE" sheetId="11" r:id="rId11"/>
    <sheet name="THANH HA - KCN" sheetId="12" r:id="rId12"/>
    <sheet name="THANH HA - BODY" sheetId="13" r:id="rId13"/>
    <sheet name="HUY- DAU DUONG" sheetId="14" r:id="rId14"/>
    <sheet name="HUY - SEA SALT" sheetId="15" r:id="rId15"/>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0" l="1"/>
  <c r="D14" i="10"/>
  <c r="D15" i="10"/>
  <c r="F99" i="3" l="1"/>
  <c r="F22" i="7"/>
  <c r="F19" i="5"/>
  <c r="F77" i="2" l="1"/>
  <c r="E78" i="2"/>
  <c r="F78" i="2" s="1"/>
  <c r="E25" i="15" l="1"/>
  <c r="C25" i="15"/>
  <c r="D25" i="15" s="1"/>
  <c r="F24" i="15"/>
  <c r="D24" i="15"/>
  <c r="F23" i="15"/>
  <c r="D23" i="15"/>
  <c r="F22" i="15"/>
  <c r="D22" i="15"/>
  <c r="F21" i="15"/>
  <c r="D21" i="15"/>
  <c r="F20" i="15"/>
  <c r="D20" i="15"/>
  <c r="F19" i="15"/>
  <c r="D19" i="15"/>
  <c r="F18" i="15"/>
  <c r="D18" i="15"/>
  <c r="F17" i="15"/>
  <c r="D17" i="15"/>
  <c r="F16" i="15"/>
  <c r="D16" i="15"/>
  <c r="F15" i="15"/>
  <c r="D15" i="15"/>
  <c r="F14" i="15"/>
  <c r="D14" i="15"/>
  <c r="F13" i="15"/>
  <c r="D13" i="15"/>
  <c r="F12" i="15"/>
  <c r="D12" i="15"/>
  <c r="F11" i="15"/>
  <c r="D11" i="15"/>
  <c r="F10" i="15"/>
  <c r="D10" i="15"/>
  <c r="F9" i="15"/>
  <c r="D9" i="15"/>
  <c r="F8" i="15"/>
  <c r="D8" i="15"/>
  <c r="F7" i="15"/>
  <c r="D7" i="15"/>
  <c r="F6" i="15"/>
  <c r="D6" i="15"/>
  <c r="F5" i="15"/>
  <c r="F25" i="15" s="1"/>
  <c r="D5" i="15"/>
  <c r="G3" i="15"/>
  <c r="F36" i="14"/>
  <c r="F55" i="14" s="1"/>
  <c r="F37" i="14"/>
  <c r="F38" i="14"/>
  <c r="F39" i="14"/>
  <c r="F40" i="14"/>
  <c r="F41" i="14"/>
  <c r="F42" i="14"/>
  <c r="F43" i="14"/>
  <c r="F44" i="14"/>
  <c r="F45" i="14"/>
  <c r="F46" i="14"/>
  <c r="F47" i="14"/>
  <c r="F48" i="14"/>
  <c r="F49" i="14"/>
  <c r="F50" i="14"/>
  <c r="F51" i="14"/>
  <c r="F52" i="14"/>
  <c r="F53" i="14"/>
  <c r="F54" i="14"/>
  <c r="F35" i="14"/>
  <c r="E25" i="14"/>
  <c r="D36" i="14"/>
  <c r="D37" i="14"/>
  <c r="D38" i="14"/>
  <c r="D39" i="14"/>
  <c r="D40" i="14"/>
  <c r="D41" i="14"/>
  <c r="D42" i="14"/>
  <c r="D43" i="14"/>
  <c r="D44" i="14"/>
  <c r="D45" i="14"/>
  <c r="D46" i="14"/>
  <c r="D47" i="14"/>
  <c r="D48" i="14"/>
  <c r="D49" i="14"/>
  <c r="D50" i="14"/>
  <c r="D51" i="14"/>
  <c r="D52" i="14"/>
  <c r="D53" i="14"/>
  <c r="D54" i="14"/>
  <c r="D35" i="14"/>
  <c r="D55" i="14" s="1"/>
  <c r="G33" i="14"/>
  <c r="F33" i="14"/>
  <c r="E55" i="14"/>
  <c r="C55" i="14"/>
  <c r="F6" i="14"/>
  <c r="F7" i="14"/>
  <c r="F8" i="14"/>
  <c r="F9" i="14"/>
  <c r="F10" i="14"/>
  <c r="F11" i="14"/>
  <c r="F12" i="14"/>
  <c r="F13" i="14"/>
  <c r="F14" i="14"/>
  <c r="F15" i="14"/>
  <c r="F16" i="14"/>
  <c r="F17" i="14"/>
  <c r="F18" i="14"/>
  <c r="F19" i="14"/>
  <c r="F20" i="14"/>
  <c r="F21" i="14"/>
  <c r="F22" i="14"/>
  <c r="F23" i="14"/>
  <c r="F24" i="14"/>
  <c r="F5" i="14"/>
  <c r="F25" i="14" s="1"/>
  <c r="D5" i="14"/>
  <c r="D25" i="14" s="1"/>
  <c r="D6" i="14"/>
  <c r="D7" i="14"/>
  <c r="D8" i="14"/>
  <c r="D9" i="14"/>
  <c r="D10" i="14"/>
  <c r="D11" i="14"/>
  <c r="D12" i="14"/>
  <c r="D13" i="14"/>
  <c r="D14" i="14"/>
  <c r="D15" i="14"/>
  <c r="D16" i="14"/>
  <c r="D17" i="14"/>
  <c r="D18" i="14"/>
  <c r="D19" i="14"/>
  <c r="D20" i="14"/>
  <c r="D21" i="14"/>
  <c r="D22" i="14"/>
  <c r="D23" i="14"/>
  <c r="D24" i="14"/>
  <c r="G3" i="14"/>
  <c r="F3" i="14"/>
  <c r="C25" i="14"/>
  <c r="G92" i="8"/>
  <c r="F92" i="8"/>
  <c r="F95" i="8"/>
  <c r="F96" i="8"/>
  <c r="F97" i="8"/>
  <c r="F98" i="8"/>
  <c r="F99" i="8"/>
  <c r="F100" i="8"/>
  <c r="F101" i="8"/>
  <c r="F102" i="8"/>
  <c r="F103" i="8"/>
  <c r="F104" i="8"/>
  <c r="F105" i="8"/>
  <c r="F106" i="8"/>
  <c r="F107" i="8"/>
  <c r="F108" i="8"/>
  <c r="F109" i="8"/>
  <c r="F110" i="8"/>
  <c r="F111" i="8"/>
  <c r="F113" i="8"/>
  <c r="F114" i="8"/>
  <c r="F115" i="8"/>
  <c r="F94" i="8"/>
  <c r="E112" i="8"/>
  <c r="D95" i="8"/>
  <c r="D96" i="8"/>
  <c r="D97" i="8"/>
  <c r="D98" i="8"/>
  <c r="D99" i="8"/>
  <c r="D100" i="8"/>
  <c r="D101" i="8"/>
  <c r="D102" i="8"/>
  <c r="D103" i="8"/>
  <c r="D104" i="8"/>
  <c r="D105" i="8"/>
  <c r="D106" i="8"/>
  <c r="D107" i="8"/>
  <c r="D108" i="8"/>
  <c r="D109" i="8"/>
  <c r="D110" i="8"/>
  <c r="D111" i="8"/>
  <c r="D94" i="8"/>
  <c r="C112" i="8"/>
  <c r="G3" i="13"/>
  <c r="E25" i="13"/>
  <c r="C25" i="13"/>
  <c r="D25" i="13" s="1"/>
  <c r="F24" i="13"/>
  <c r="D24" i="13"/>
  <c r="F23" i="13"/>
  <c r="D23" i="13"/>
  <c r="F22" i="13"/>
  <c r="D22" i="13"/>
  <c r="F21" i="13"/>
  <c r="D21" i="13"/>
  <c r="F20" i="13"/>
  <c r="D20" i="13"/>
  <c r="F19" i="13"/>
  <c r="D19" i="13"/>
  <c r="F18" i="13"/>
  <c r="D18" i="13"/>
  <c r="F17" i="13"/>
  <c r="D17" i="13"/>
  <c r="F16" i="13"/>
  <c r="D16" i="13"/>
  <c r="F15" i="13"/>
  <c r="D15" i="13"/>
  <c r="F14" i="13"/>
  <c r="D14" i="13"/>
  <c r="F13" i="13"/>
  <c r="D13" i="13"/>
  <c r="F12" i="13"/>
  <c r="D12" i="13"/>
  <c r="F11" i="13"/>
  <c r="D11" i="13"/>
  <c r="F10" i="13"/>
  <c r="D10" i="13"/>
  <c r="F9" i="13"/>
  <c r="D9" i="13"/>
  <c r="F8" i="13"/>
  <c r="D8" i="13"/>
  <c r="F7" i="13"/>
  <c r="D7" i="13"/>
  <c r="F6" i="13"/>
  <c r="D6" i="13"/>
  <c r="F5" i="13"/>
  <c r="F25" i="13" s="1"/>
  <c r="D5" i="13"/>
  <c r="G3" i="12"/>
  <c r="E25" i="12"/>
  <c r="C25" i="12"/>
  <c r="D25" i="12" s="1"/>
  <c r="F24" i="12"/>
  <c r="D24" i="12"/>
  <c r="F23" i="12"/>
  <c r="D23" i="12"/>
  <c r="F22" i="12"/>
  <c r="D22" i="12"/>
  <c r="F21" i="12"/>
  <c r="D21" i="12"/>
  <c r="F20" i="12"/>
  <c r="D20" i="12"/>
  <c r="F19" i="12"/>
  <c r="D19" i="12"/>
  <c r="F18" i="12"/>
  <c r="D18" i="12"/>
  <c r="F17" i="12"/>
  <c r="D17" i="12"/>
  <c r="F16" i="12"/>
  <c r="D16" i="12"/>
  <c r="F15" i="12"/>
  <c r="D15" i="12"/>
  <c r="F14" i="12"/>
  <c r="D14" i="12"/>
  <c r="F13" i="12"/>
  <c r="D13" i="12"/>
  <c r="F12" i="12"/>
  <c r="D12" i="12"/>
  <c r="F11" i="12"/>
  <c r="D11" i="12"/>
  <c r="F10" i="12"/>
  <c r="D10" i="12"/>
  <c r="F9" i="12"/>
  <c r="D9" i="12"/>
  <c r="F8" i="12"/>
  <c r="D8" i="12"/>
  <c r="F7" i="12"/>
  <c r="D7" i="12"/>
  <c r="F6" i="12"/>
  <c r="D6" i="12"/>
  <c r="F5" i="12"/>
  <c r="D5" i="12"/>
  <c r="G3" i="11"/>
  <c r="D13" i="11"/>
  <c r="D14" i="11"/>
  <c r="D15" i="11"/>
  <c r="D5" i="11"/>
  <c r="E25" i="11"/>
  <c r="C25" i="11"/>
  <c r="D25" i="11" s="1"/>
  <c r="F24" i="11"/>
  <c r="D24" i="11"/>
  <c r="F23" i="11"/>
  <c r="D23" i="11"/>
  <c r="F22" i="11"/>
  <c r="D22" i="11"/>
  <c r="F21" i="11"/>
  <c r="D21" i="11"/>
  <c r="F20" i="11"/>
  <c r="D20" i="11"/>
  <c r="F19" i="11"/>
  <c r="D19" i="11"/>
  <c r="F18" i="11"/>
  <c r="D18" i="11"/>
  <c r="F17" i="11"/>
  <c r="D17" i="11"/>
  <c r="F16" i="11"/>
  <c r="D16" i="11"/>
  <c r="F15" i="11"/>
  <c r="F14" i="11"/>
  <c r="F13" i="11"/>
  <c r="F12" i="11"/>
  <c r="D12" i="11"/>
  <c r="F11" i="11"/>
  <c r="D11" i="11"/>
  <c r="F10" i="11"/>
  <c r="D10" i="11"/>
  <c r="F9" i="11"/>
  <c r="D9" i="11"/>
  <c r="F8" i="11"/>
  <c r="D8" i="11"/>
  <c r="F7" i="11"/>
  <c r="D7" i="11"/>
  <c r="F6" i="11"/>
  <c r="D6" i="11"/>
  <c r="F5" i="11"/>
  <c r="G3" i="10"/>
  <c r="F13" i="10"/>
  <c r="F14" i="10"/>
  <c r="F15" i="10"/>
  <c r="F5" i="10"/>
  <c r="F24" i="10"/>
  <c r="E25" i="10"/>
  <c r="C25" i="10"/>
  <c r="D25" i="10" s="1"/>
  <c r="D24" i="10"/>
  <c r="F23" i="10"/>
  <c r="D23" i="10"/>
  <c r="F22" i="10"/>
  <c r="D22" i="10"/>
  <c r="F21" i="10"/>
  <c r="D21" i="10"/>
  <c r="F20" i="10"/>
  <c r="D20" i="10"/>
  <c r="F19" i="10"/>
  <c r="D19" i="10"/>
  <c r="F18" i="10"/>
  <c r="D18" i="10"/>
  <c r="F17" i="10"/>
  <c r="D17" i="10"/>
  <c r="F16" i="10"/>
  <c r="D16" i="10"/>
  <c r="F12" i="10"/>
  <c r="D12" i="10"/>
  <c r="F11" i="10"/>
  <c r="D11" i="10"/>
  <c r="F10" i="10"/>
  <c r="D10" i="10"/>
  <c r="F9" i="10"/>
  <c r="D9" i="10"/>
  <c r="F8" i="10"/>
  <c r="D8" i="10"/>
  <c r="F7" i="10"/>
  <c r="D7" i="10"/>
  <c r="F6" i="10"/>
  <c r="D6" i="10"/>
  <c r="D5" i="10"/>
  <c r="J74" i="3"/>
  <c r="C26" i="4"/>
  <c r="C30" i="4" s="1"/>
  <c r="F52" i="3"/>
  <c r="F30" i="3"/>
  <c r="F52" i="2"/>
  <c r="G54" i="2"/>
  <c r="G3" i="9"/>
  <c r="D19" i="9"/>
  <c r="F19" i="9"/>
  <c r="E22" i="9"/>
  <c r="F5" i="9"/>
  <c r="F22" i="9" s="1"/>
  <c r="G24" i="9" s="1"/>
  <c r="C22" i="9"/>
  <c r="D22" i="9" s="1"/>
  <c r="F21" i="9"/>
  <c r="D21" i="9"/>
  <c r="F20" i="9"/>
  <c r="D20" i="9"/>
  <c r="F18" i="9"/>
  <c r="D18" i="9"/>
  <c r="F17" i="9"/>
  <c r="D17" i="9"/>
  <c r="F16" i="9"/>
  <c r="D16" i="9"/>
  <c r="F15" i="9"/>
  <c r="D15" i="9"/>
  <c r="F14" i="9"/>
  <c r="D14" i="9"/>
  <c r="F13" i="9"/>
  <c r="D13" i="9"/>
  <c r="F12" i="9"/>
  <c r="D12" i="9"/>
  <c r="F11" i="9"/>
  <c r="D11" i="9"/>
  <c r="F10" i="9"/>
  <c r="D10" i="9"/>
  <c r="F9" i="9"/>
  <c r="D9" i="9"/>
  <c r="F8" i="9"/>
  <c r="D8" i="9"/>
  <c r="F7" i="9"/>
  <c r="D7" i="9"/>
  <c r="F6" i="9"/>
  <c r="D6" i="9"/>
  <c r="D5" i="9"/>
  <c r="F82" i="2"/>
  <c r="E54" i="2"/>
  <c r="G27" i="2"/>
  <c r="F20" i="2"/>
  <c r="F66" i="8"/>
  <c r="F67" i="8"/>
  <c r="F68" i="8"/>
  <c r="F69" i="8"/>
  <c r="F70" i="8"/>
  <c r="F71" i="8"/>
  <c r="F72" i="8"/>
  <c r="F73" i="8"/>
  <c r="F74" i="8"/>
  <c r="F75" i="8"/>
  <c r="F76" i="8"/>
  <c r="F77" i="8"/>
  <c r="F78" i="8"/>
  <c r="F79" i="8"/>
  <c r="F80" i="8"/>
  <c r="F81" i="8"/>
  <c r="F82" i="8"/>
  <c r="F84" i="8"/>
  <c r="F85" i="8"/>
  <c r="F86" i="8"/>
  <c r="F65" i="8"/>
  <c r="E83" i="8"/>
  <c r="D66" i="8"/>
  <c r="D67" i="8"/>
  <c r="D68" i="8"/>
  <c r="D69" i="8"/>
  <c r="D70" i="8"/>
  <c r="D71" i="8"/>
  <c r="D72" i="8"/>
  <c r="D73" i="8"/>
  <c r="D74" i="8"/>
  <c r="D75" i="8"/>
  <c r="D76" i="8"/>
  <c r="D77" i="8"/>
  <c r="D78" i="8"/>
  <c r="D79" i="8"/>
  <c r="D80" i="8"/>
  <c r="D81" i="8"/>
  <c r="D82" i="8"/>
  <c r="D65" i="8"/>
  <c r="G63" i="8"/>
  <c r="F63" i="8"/>
  <c r="C83" i="8"/>
  <c r="C91" i="8" s="1"/>
  <c r="D112" i="8" l="1"/>
  <c r="G27" i="15"/>
  <c r="F28" i="15"/>
  <c r="G57" i="14"/>
  <c r="F58" i="14"/>
  <c r="G27" i="14"/>
  <c r="F28" i="14"/>
  <c r="F112" i="8"/>
  <c r="G113" i="8" s="1"/>
  <c r="G27" i="13"/>
  <c r="F28" i="13"/>
  <c r="F25" i="12"/>
  <c r="G27" i="12" s="1"/>
  <c r="F25" i="11"/>
  <c r="G27" i="11" s="1"/>
  <c r="F25" i="10"/>
  <c r="G27" i="10" s="1"/>
  <c r="D83" i="8"/>
  <c r="F83" i="8"/>
  <c r="G84" i="8" s="1"/>
  <c r="F28" i="12" l="1"/>
  <c r="F28" i="11"/>
  <c r="F28" i="10"/>
  <c r="F25" i="9"/>
  <c r="E53" i="8"/>
  <c r="F51" i="8"/>
  <c r="F33" i="8"/>
  <c r="G33" i="8"/>
  <c r="D51" i="8"/>
  <c r="D48" i="8"/>
  <c r="F36" i="8"/>
  <c r="F37" i="8"/>
  <c r="F38" i="8"/>
  <c r="F39" i="8"/>
  <c r="F40" i="8"/>
  <c r="F41" i="8"/>
  <c r="F42" i="8"/>
  <c r="F43" i="8"/>
  <c r="F44" i="8"/>
  <c r="F45" i="8"/>
  <c r="F46" i="8"/>
  <c r="F47" i="8"/>
  <c r="F48" i="8"/>
  <c r="F49" i="8"/>
  <c r="F50" i="8"/>
  <c r="F52" i="8"/>
  <c r="F54" i="8"/>
  <c r="F55" i="8"/>
  <c r="F56" i="8"/>
  <c r="F35" i="8"/>
  <c r="D36" i="8"/>
  <c r="D37" i="8"/>
  <c r="D38" i="8"/>
  <c r="D39" i="8"/>
  <c r="D40" i="8"/>
  <c r="D41" i="8"/>
  <c r="D42" i="8"/>
  <c r="D43" i="8"/>
  <c r="D44" i="8"/>
  <c r="D45" i="8"/>
  <c r="D46" i="8"/>
  <c r="D47" i="8"/>
  <c r="D49" i="8"/>
  <c r="D50" i="8"/>
  <c r="D52" i="8"/>
  <c r="D35" i="8"/>
  <c r="C53" i="8"/>
  <c r="C62" i="8" s="1"/>
  <c r="D5" i="8"/>
  <c r="G3" i="8"/>
  <c r="D53" i="8" l="1"/>
  <c r="F53" i="8"/>
  <c r="G54" i="8" l="1"/>
  <c r="F26" i="8"/>
  <c r="F25" i="8"/>
  <c r="F24" i="8"/>
  <c r="E23" i="8"/>
  <c r="C23" i="8"/>
  <c r="C32" i="8" s="1"/>
  <c r="F22" i="8"/>
  <c r="D22" i="8"/>
  <c r="F21" i="8"/>
  <c r="D21" i="8"/>
  <c r="F20" i="8"/>
  <c r="D20" i="8"/>
  <c r="F19" i="8"/>
  <c r="D19" i="8"/>
  <c r="F18" i="8"/>
  <c r="D18" i="8"/>
  <c r="F17" i="8"/>
  <c r="D17" i="8"/>
  <c r="F16" i="8"/>
  <c r="D16" i="8"/>
  <c r="F15" i="8"/>
  <c r="D15" i="8"/>
  <c r="F14" i="8"/>
  <c r="D14" i="8"/>
  <c r="F13" i="8"/>
  <c r="D13" i="8"/>
  <c r="F12" i="8"/>
  <c r="D12" i="8"/>
  <c r="F11" i="8"/>
  <c r="D11" i="8"/>
  <c r="F10" i="8"/>
  <c r="D10" i="8"/>
  <c r="F9" i="8"/>
  <c r="D9" i="8"/>
  <c r="F8" i="8"/>
  <c r="D8" i="8"/>
  <c r="F7" i="8"/>
  <c r="D7" i="8"/>
  <c r="F6" i="8"/>
  <c r="D6" i="8"/>
  <c r="F5" i="8"/>
  <c r="E23" i="7"/>
  <c r="F6" i="7"/>
  <c r="F7" i="7"/>
  <c r="F8" i="7"/>
  <c r="F9" i="7"/>
  <c r="F10" i="7"/>
  <c r="F11" i="7"/>
  <c r="F12" i="7"/>
  <c r="F13" i="7"/>
  <c r="F14" i="7"/>
  <c r="F15" i="7"/>
  <c r="F16" i="7"/>
  <c r="F17" i="7"/>
  <c r="F18" i="7"/>
  <c r="F24" i="7"/>
  <c r="F25" i="7"/>
  <c r="F26" i="7"/>
  <c r="F5" i="7"/>
  <c r="D6" i="7"/>
  <c r="D7" i="7"/>
  <c r="D8" i="7"/>
  <c r="D9" i="7"/>
  <c r="D10" i="7"/>
  <c r="D11" i="7"/>
  <c r="D12" i="7"/>
  <c r="D13" i="7"/>
  <c r="D14" i="7"/>
  <c r="D15" i="7"/>
  <c r="D16" i="7"/>
  <c r="D17" i="7"/>
  <c r="D18" i="7"/>
  <c r="D22" i="7"/>
  <c r="D5" i="7"/>
  <c r="G3" i="7"/>
  <c r="G34" i="6"/>
  <c r="D23" i="7" l="1"/>
  <c r="F23" i="7"/>
  <c r="D23" i="8"/>
  <c r="F23" i="8"/>
  <c r="F37" i="6"/>
  <c r="F38" i="6"/>
  <c r="F39" i="6"/>
  <c r="F40" i="6"/>
  <c r="F41" i="6"/>
  <c r="F42" i="6"/>
  <c r="F43" i="6"/>
  <c r="F44" i="6"/>
  <c r="F45" i="6"/>
  <c r="F46" i="6"/>
  <c r="F47" i="6"/>
  <c r="F48" i="6"/>
  <c r="F49" i="6"/>
  <c r="F50" i="6"/>
  <c r="F51" i="6"/>
  <c r="F52" i="6"/>
  <c r="F53" i="6"/>
  <c r="F36" i="6"/>
  <c r="E54" i="6"/>
  <c r="D37" i="6"/>
  <c r="D38" i="6"/>
  <c r="D39" i="6"/>
  <c r="D40" i="6"/>
  <c r="D41" i="6"/>
  <c r="D42" i="6"/>
  <c r="D43" i="6"/>
  <c r="D44" i="6"/>
  <c r="D45" i="6"/>
  <c r="D46" i="6"/>
  <c r="D47" i="6"/>
  <c r="D48" i="6"/>
  <c r="D49" i="6"/>
  <c r="D50" i="6"/>
  <c r="D51" i="6"/>
  <c r="D52" i="6"/>
  <c r="D53" i="6"/>
  <c r="D58" i="6"/>
  <c r="D59" i="6"/>
  <c r="D36" i="6"/>
  <c r="D54" i="6" l="1"/>
  <c r="G24" i="7"/>
  <c r="G24" i="8"/>
  <c r="F54" i="6"/>
  <c r="G56" i="6" l="1"/>
  <c r="F6" i="6"/>
  <c r="F7" i="6"/>
  <c r="F8" i="6"/>
  <c r="F9" i="6"/>
  <c r="F10" i="6"/>
  <c r="F11" i="6"/>
  <c r="F12" i="6"/>
  <c r="F13" i="6"/>
  <c r="F14" i="6"/>
  <c r="F15" i="6"/>
  <c r="F16" i="6"/>
  <c r="F17" i="6"/>
  <c r="F18" i="6"/>
  <c r="F19" i="6"/>
  <c r="F20" i="6"/>
  <c r="F21" i="6"/>
  <c r="F22" i="6"/>
  <c r="F5" i="6"/>
  <c r="G3" i="6"/>
  <c r="E23" i="6"/>
  <c r="D6" i="6"/>
  <c r="D7" i="6"/>
  <c r="D8" i="6"/>
  <c r="D9" i="6"/>
  <c r="D10" i="6"/>
  <c r="D11" i="6"/>
  <c r="D12" i="6"/>
  <c r="D13" i="6"/>
  <c r="D14" i="6"/>
  <c r="D15" i="6"/>
  <c r="D16" i="6"/>
  <c r="D17" i="6"/>
  <c r="D18" i="6"/>
  <c r="D19" i="6"/>
  <c r="D20" i="6"/>
  <c r="D21" i="6"/>
  <c r="D22" i="6"/>
  <c r="D5" i="6"/>
  <c r="D23" i="6" l="1"/>
  <c r="F23" i="6"/>
  <c r="G23" i="6" s="1"/>
  <c r="F6" i="5"/>
  <c r="F7" i="5"/>
  <c r="F8" i="5"/>
  <c r="F9" i="5"/>
  <c r="F10" i="5"/>
  <c r="F11" i="5"/>
  <c r="F12" i="5"/>
  <c r="F13" i="5"/>
  <c r="F14" i="5"/>
  <c r="F15" i="5"/>
  <c r="F16" i="5"/>
  <c r="F17" i="5"/>
  <c r="F18" i="5"/>
  <c r="F21" i="5"/>
  <c r="F22" i="5"/>
  <c r="F23" i="5"/>
  <c r="F24" i="5"/>
  <c r="F25" i="5"/>
  <c r="F5" i="5"/>
  <c r="E20" i="5"/>
  <c r="D6" i="5"/>
  <c r="D7" i="5"/>
  <c r="D8" i="5"/>
  <c r="D9" i="5"/>
  <c r="D10" i="5"/>
  <c r="D11" i="5"/>
  <c r="D12" i="5"/>
  <c r="D13" i="5"/>
  <c r="D14" i="5"/>
  <c r="D15" i="5"/>
  <c r="D16" i="5"/>
  <c r="D17" i="5"/>
  <c r="D18" i="5"/>
  <c r="D19" i="5"/>
  <c r="D5" i="5"/>
  <c r="D20" i="5" s="1"/>
  <c r="F3" i="5"/>
  <c r="E26" i="4"/>
  <c r="F6" i="4"/>
  <c r="F7" i="4"/>
  <c r="F8" i="4"/>
  <c r="F9" i="4"/>
  <c r="F10" i="4"/>
  <c r="F11" i="4"/>
  <c r="F12" i="4"/>
  <c r="F13" i="4"/>
  <c r="F14" i="4"/>
  <c r="F15" i="4"/>
  <c r="F16" i="4"/>
  <c r="F17" i="4"/>
  <c r="F18" i="4"/>
  <c r="F19" i="4"/>
  <c r="F20" i="4"/>
  <c r="F21" i="4"/>
  <c r="F22" i="4"/>
  <c r="F23" i="4"/>
  <c r="F24" i="4"/>
  <c r="F25" i="4"/>
  <c r="F27" i="4"/>
  <c r="F28" i="4"/>
  <c r="F29" i="4"/>
  <c r="F5" i="4"/>
  <c r="G3" i="4"/>
  <c r="D6" i="4"/>
  <c r="D7" i="4"/>
  <c r="D8" i="4"/>
  <c r="D9" i="4"/>
  <c r="D10" i="4"/>
  <c r="D11" i="4"/>
  <c r="D12" i="4"/>
  <c r="D13" i="4"/>
  <c r="D14" i="4"/>
  <c r="D15" i="4"/>
  <c r="D16" i="4"/>
  <c r="D17" i="4"/>
  <c r="D18" i="4"/>
  <c r="D19" i="4"/>
  <c r="D20" i="4"/>
  <c r="D21" i="4"/>
  <c r="D22" i="4"/>
  <c r="D23" i="4"/>
  <c r="D24" i="4"/>
  <c r="D25" i="4"/>
  <c r="D5" i="4"/>
  <c r="F125" i="1"/>
  <c r="F126" i="1"/>
  <c r="F127" i="1"/>
  <c r="F128" i="1"/>
  <c r="F129" i="1"/>
  <c r="F130" i="1"/>
  <c r="F131" i="1"/>
  <c r="F132" i="1"/>
  <c r="F133" i="1"/>
  <c r="F134" i="1"/>
  <c r="F135" i="1"/>
  <c r="F136" i="1"/>
  <c r="F137" i="1"/>
  <c r="F138" i="1"/>
  <c r="F139" i="1"/>
  <c r="F140" i="1"/>
  <c r="F141" i="1"/>
  <c r="F124" i="1"/>
  <c r="E142" i="1"/>
  <c r="G122" i="1"/>
  <c r="D125" i="1"/>
  <c r="D126" i="1"/>
  <c r="D127" i="1"/>
  <c r="D128" i="1"/>
  <c r="D129" i="1"/>
  <c r="D130" i="1"/>
  <c r="D131" i="1"/>
  <c r="D132" i="1"/>
  <c r="D133" i="1"/>
  <c r="D134" i="1"/>
  <c r="D135" i="1"/>
  <c r="D136" i="1"/>
  <c r="D137" i="1"/>
  <c r="D138" i="1"/>
  <c r="D139" i="1"/>
  <c r="D140" i="1"/>
  <c r="D141" i="1"/>
  <c r="D124" i="1"/>
  <c r="G99" i="1"/>
  <c r="F102" i="1"/>
  <c r="F103" i="1"/>
  <c r="F104" i="1"/>
  <c r="F105" i="1"/>
  <c r="F106" i="1"/>
  <c r="F107" i="1"/>
  <c r="F108" i="1"/>
  <c r="F109" i="1"/>
  <c r="F110" i="1"/>
  <c r="F111" i="1"/>
  <c r="F112" i="1"/>
  <c r="F113" i="1"/>
  <c r="F114" i="1"/>
  <c r="F115" i="1"/>
  <c r="F116" i="1"/>
  <c r="F117" i="1"/>
  <c r="F101" i="1"/>
  <c r="E118" i="1"/>
  <c r="D102" i="1"/>
  <c r="D103" i="1"/>
  <c r="D104" i="1"/>
  <c r="D105" i="1"/>
  <c r="D106" i="1"/>
  <c r="D107" i="1"/>
  <c r="D108" i="1"/>
  <c r="D109" i="1"/>
  <c r="D110" i="1"/>
  <c r="D111" i="1"/>
  <c r="D112" i="1"/>
  <c r="D113" i="1"/>
  <c r="D114" i="1"/>
  <c r="D115" i="1"/>
  <c r="D116" i="1"/>
  <c r="D117" i="1"/>
  <c r="D101" i="1"/>
  <c r="G76" i="1"/>
  <c r="F79" i="1"/>
  <c r="F80" i="1"/>
  <c r="F81" i="1"/>
  <c r="F82" i="1"/>
  <c r="F83" i="1"/>
  <c r="F84" i="1"/>
  <c r="F85" i="1"/>
  <c r="F86" i="1"/>
  <c r="F87" i="1"/>
  <c r="F88" i="1"/>
  <c r="F89" i="1"/>
  <c r="F90" i="1"/>
  <c r="F91" i="1"/>
  <c r="F92" i="1"/>
  <c r="F93" i="1"/>
  <c r="F94" i="1"/>
  <c r="F78" i="1"/>
  <c r="E95" i="1"/>
  <c r="D79" i="1"/>
  <c r="D80" i="1"/>
  <c r="D81" i="1"/>
  <c r="D82" i="1"/>
  <c r="D83" i="1"/>
  <c r="D84" i="1"/>
  <c r="D85" i="1"/>
  <c r="D86" i="1"/>
  <c r="D87" i="1"/>
  <c r="D88" i="1"/>
  <c r="D89" i="1"/>
  <c r="D90" i="1"/>
  <c r="D91" i="1"/>
  <c r="D92" i="1"/>
  <c r="D93" i="1"/>
  <c r="D94" i="1"/>
  <c r="D78" i="1"/>
  <c r="G51" i="1"/>
  <c r="E71" i="1"/>
  <c r="F71" i="1" s="1"/>
  <c r="J71" i="1" s="1"/>
  <c r="F54" i="1"/>
  <c r="F55" i="1"/>
  <c r="F56" i="1"/>
  <c r="F57" i="1"/>
  <c r="F58" i="1"/>
  <c r="F59" i="1"/>
  <c r="F60" i="1"/>
  <c r="F61" i="1"/>
  <c r="F62" i="1"/>
  <c r="F63" i="1"/>
  <c r="F64" i="1"/>
  <c r="F65" i="1"/>
  <c r="F66" i="1"/>
  <c r="F67" i="1"/>
  <c r="F68" i="1"/>
  <c r="F69" i="1"/>
  <c r="F70" i="1"/>
  <c r="F53" i="1"/>
  <c r="D54" i="1"/>
  <c r="D55" i="1"/>
  <c r="D56" i="1"/>
  <c r="D57" i="1"/>
  <c r="D58" i="1"/>
  <c r="D59" i="1"/>
  <c r="D60" i="1"/>
  <c r="D61" i="1"/>
  <c r="D62" i="1"/>
  <c r="D63" i="1"/>
  <c r="D64" i="1"/>
  <c r="D65" i="1"/>
  <c r="D66" i="1"/>
  <c r="D67" i="1"/>
  <c r="D68" i="1"/>
  <c r="D69" i="1"/>
  <c r="D70" i="1"/>
  <c r="D53" i="1"/>
  <c r="F30" i="1"/>
  <c r="F31" i="1"/>
  <c r="F32" i="1"/>
  <c r="F33" i="1"/>
  <c r="F34" i="1"/>
  <c r="F35" i="1"/>
  <c r="F36" i="1"/>
  <c r="F37" i="1"/>
  <c r="F38" i="1"/>
  <c r="F39" i="1"/>
  <c r="F40" i="1"/>
  <c r="F41" i="1"/>
  <c r="F42" i="1"/>
  <c r="F43" i="1"/>
  <c r="F44" i="1"/>
  <c r="F45" i="1"/>
  <c r="F46" i="1"/>
  <c r="F29" i="1"/>
  <c r="G27" i="1"/>
  <c r="D43" i="1"/>
  <c r="D44" i="1"/>
  <c r="D45" i="1"/>
  <c r="D46" i="1"/>
  <c r="D30" i="1"/>
  <c r="D31" i="1"/>
  <c r="D32" i="1"/>
  <c r="D33" i="1"/>
  <c r="D34" i="1"/>
  <c r="D35" i="1"/>
  <c r="D36" i="1"/>
  <c r="D37" i="1"/>
  <c r="D38" i="1"/>
  <c r="D39" i="1"/>
  <c r="D40" i="1"/>
  <c r="D41" i="1"/>
  <c r="D42" i="1"/>
  <c r="E47" i="1"/>
  <c r="D29" i="1"/>
  <c r="F22" i="1"/>
  <c r="F21" i="1"/>
  <c r="F20" i="1"/>
  <c r="F19" i="1"/>
  <c r="F18" i="1"/>
  <c r="F17" i="1"/>
  <c r="F16" i="1"/>
  <c r="F15" i="1"/>
  <c r="F14" i="1"/>
  <c r="F13" i="1"/>
  <c r="F12" i="1"/>
  <c r="F11" i="1"/>
  <c r="F10" i="1"/>
  <c r="F9" i="1"/>
  <c r="F8" i="1"/>
  <c r="F7" i="1"/>
  <c r="F6" i="1"/>
  <c r="F5" i="1"/>
  <c r="D22" i="1"/>
  <c r="G3" i="1"/>
  <c r="D6" i="1"/>
  <c r="D7" i="1"/>
  <c r="D8" i="1"/>
  <c r="D9" i="1"/>
  <c r="D10" i="1"/>
  <c r="D11" i="1"/>
  <c r="D12" i="1"/>
  <c r="D13" i="1"/>
  <c r="D14" i="1"/>
  <c r="D15" i="1"/>
  <c r="D16" i="1"/>
  <c r="D17" i="1"/>
  <c r="D18" i="1"/>
  <c r="D19" i="1"/>
  <c r="D20" i="1"/>
  <c r="D21" i="1"/>
  <c r="D5" i="1"/>
  <c r="D26" i="4" l="1"/>
  <c r="D118" i="1"/>
  <c r="D142" i="1"/>
  <c r="D71" i="1"/>
  <c r="G73" i="1" s="1"/>
  <c r="D95" i="1"/>
  <c r="F118" i="1"/>
  <c r="J118" i="1" s="1"/>
  <c r="F26" i="4"/>
  <c r="G28" i="4" s="1"/>
  <c r="F20" i="5"/>
  <c r="G22" i="5" s="1"/>
  <c r="F95" i="1"/>
  <c r="J95" i="1" s="1"/>
  <c r="F142" i="1"/>
  <c r="J142" i="1" s="1"/>
  <c r="F47" i="1"/>
  <c r="J47" i="1" s="1"/>
  <c r="D47" i="1"/>
  <c r="G120" i="1" l="1"/>
  <c r="G144" i="1"/>
  <c r="G97" i="1"/>
  <c r="G49" i="1"/>
  <c r="F23" i="1"/>
  <c r="J23" i="1" s="1"/>
  <c r="E23" i="1"/>
  <c r="F81" i="3" l="1"/>
  <c r="D81" i="3"/>
  <c r="F82" i="3" l="1"/>
  <c r="F83" i="3"/>
  <c r="F84" i="3"/>
  <c r="F85" i="3"/>
  <c r="F86" i="3"/>
  <c r="F87" i="3"/>
  <c r="F88" i="3"/>
  <c r="F89" i="3"/>
  <c r="F90" i="3"/>
  <c r="F91" i="3"/>
  <c r="F92" i="3"/>
  <c r="F93" i="3"/>
  <c r="F94" i="3"/>
  <c r="F95" i="3"/>
  <c r="F96" i="3"/>
  <c r="F97" i="3"/>
  <c r="F98" i="3"/>
  <c r="D56" i="3"/>
  <c r="G30" i="3" l="1"/>
  <c r="F100" i="3" l="1"/>
  <c r="G102" i="3" s="1"/>
  <c r="E100" i="3"/>
  <c r="G79" i="3" l="1"/>
  <c r="D82" i="3"/>
  <c r="D83" i="3"/>
  <c r="D84" i="3"/>
  <c r="D85" i="3"/>
  <c r="D86" i="3"/>
  <c r="D87" i="3"/>
  <c r="D88" i="3"/>
  <c r="D89" i="3"/>
  <c r="D90" i="3"/>
  <c r="D91" i="3"/>
  <c r="D92" i="3"/>
  <c r="D93" i="3"/>
  <c r="D94" i="3"/>
  <c r="D95" i="3"/>
  <c r="D96" i="3"/>
  <c r="D97" i="3"/>
  <c r="D98" i="3"/>
  <c r="D99" i="3"/>
  <c r="D100" i="3" l="1"/>
  <c r="F57" i="3"/>
  <c r="F58" i="3"/>
  <c r="F59" i="3"/>
  <c r="F60" i="3"/>
  <c r="F61" i="3"/>
  <c r="F62" i="3"/>
  <c r="F63" i="3"/>
  <c r="F64" i="3"/>
  <c r="F65" i="3"/>
  <c r="F66" i="3"/>
  <c r="F67" i="3"/>
  <c r="F68" i="3"/>
  <c r="F69" i="3"/>
  <c r="F70" i="3"/>
  <c r="F71" i="3"/>
  <c r="F72" i="3"/>
  <c r="F73" i="3"/>
  <c r="F56" i="3"/>
  <c r="F54" i="3"/>
  <c r="D57" i="3"/>
  <c r="D58" i="3"/>
  <c r="D59" i="3"/>
  <c r="D60" i="3"/>
  <c r="D61" i="3"/>
  <c r="D62" i="3"/>
  <c r="D63" i="3"/>
  <c r="D64" i="3"/>
  <c r="D65" i="3"/>
  <c r="D66" i="3"/>
  <c r="D67" i="3"/>
  <c r="D68" i="3"/>
  <c r="D69" i="3"/>
  <c r="D70" i="3"/>
  <c r="D71" i="3"/>
  <c r="D72" i="3"/>
  <c r="E74" i="3"/>
  <c r="E48" i="3"/>
  <c r="F33" i="3"/>
  <c r="F34" i="3"/>
  <c r="F35" i="3"/>
  <c r="F36" i="3"/>
  <c r="F37" i="3"/>
  <c r="F38" i="3"/>
  <c r="F39" i="3"/>
  <c r="F40" i="3"/>
  <c r="F41" i="3"/>
  <c r="F42" i="3"/>
  <c r="F43" i="3"/>
  <c r="F44" i="3"/>
  <c r="F45" i="3"/>
  <c r="F46" i="3"/>
  <c r="F47" i="3"/>
  <c r="F49" i="3"/>
  <c r="F50" i="3"/>
  <c r="F51" i="3"/>
  <c r="F32" i="3"/>
  <c r="D33" i="3"/>
  <c r="D34" i="3"/>
  <c r="D35" i="3"/>
  <c r="D36" i="3"/>
  <c r="D37" i="3"/>
  <c r="D38" i="3"/>
  <c r="D39" i="3"/>
  <c r="D40" i="3"/>
  <c r="D41" i="3"/>
  <c r="D42" i="3"/>
  <c r="D43" i="3"/>
  <c r="D44" i="3"/>
  <c r="D45" i="3"/>
  <c r="D46" i="3"/>
  <c r="D32" i="3"/>
  <c r="F74" i="3" l="1"/>
  <c r="G76" i="3" s="1"/>
  <c r="F48" i="3"/>
  <c r="G3" i="2"/>
  <c r="G3" i="3"/>
  <c r="E21" i="3" l="1"/>
  <c r="F21" i="3" s="1"/>
  <c r="G23" i="3" s="1"/>
  <c r="F6" i="3"/>
  <c r="F7" i="3"/>
  <c r="F8" i="3"/>
  <c r="F9" i="3"/>
  <c r="F10" i="3"/>
  <c r="F11" i="3"/>
  <c r="F12" i="3"/>
  <c r="F13" i="3"/>
  <c r="F14" i="3"/>
  <c r="F15" i="3"/>
  <c r="F16" i="3"/>
  <c r="F17" i="3"/>
  <c r="F18" i="3"/>
  <c r="F19" i="3"/>
  <c r="F20" i="3"/>
  <c r="F22" i="3"/>
  <c r="F23" i="3"/>
  <c r="F24" i="3"/>
  <c r="F5" i="3"/>
  <c r="D6" i="3"/>
  <c r="D7" i="3"/>
  <c r="D8" i="3"/>
  <c r="D9" i="3"/>
  <c r="D10" i="3"/>
  <c r="D11" i="3"/>
  <c r="D12" i="3"/>
  <c r="D13" i="3"/>
  <c r="D14" i="3"/>
  <c r="D15" i="3"/>
  <c r="D16" i="3"/>
  <c r="D17" i="3"/>
  <c r="D18" i="3"/>
  <c r="D19" i="3"/>
  <c r="D20" i="3"/>
  <c r="D5" i="3"/>
  <c r="E3" i="3"/>
  <c r="F57" i="2"/>
  <c r="F58" i="2"/>
  <c r="F59" i="2"/>
  <c r="F60" i="2"/>
  <c r="F61" i="2"/>
  <c r="F62" i="2"/>
  <c r="F63" i="2"/>
  <c r="F64" i="2"/>
  <c r="F65" i="2"/>
  <c r="F66" i="2"/>
  <c r="F67" i="2"/>
  <c r="F68" i="2"/>
  <c r="F69" i="2"/>
  <c r="F70" i="2"/>
  <c r="F71" i="2"/>
  <c r="F72" i="2"/>
  <c r="F73" i="2"/>
  <c r="F74" i="2"/>
  <c r="F75" i="2"/>
  <c r="F76" i="2"/>
  <c r="F79" i="2"/>
  <c r="F80" i="2"/>
  <c r="F56" i="2"/>
  <c r="D56" i="2"/>
  <c r="D6" i="2"/>
  <c r="D7" i="2"/>
  <c r="D8" i="2"/>
  <c r="D9" i="2"/>
  <c r="D10" i="2"/>
  <c r="D11" i="2"/>
  <c r="D12" i="2"/>
  <c r="D13" i="2"/>
  <c r="D14" i="2"/>
  <c r="D15" i="2"/>
  <c r="D16" i="2"/>
  <c r="D17" i="2"/>
  <c r="D18" i="2"/>
  <c r="D19" i="2"/>
  <c r="D20" i="2"/>
  <c r="D21" i="2"/>
  <c r="D5" i="2"/>
  <c r="D57" i="2"/>
  <c r="D58" i="2"/>
  <c r="D59" i="2"/>
  <c r="D60" i="2"/>
  <c r="D61" i="2"/>
  <c r="D62" i="2"/>
  <c r="D63" i="2"/>
  <c r="D64" i="2"/>
  <c r="D65" i="2"/>
  <c r="D66" i="2"/>
  <c r="D67" i="2"/>
  <c r="D68" i="2"/>
  <c r="D69" i="2"/>
  <c r="D70" i="2"/>
  <c r="D71" i="2"/>
  <c r="D72" i="2"/>
  <c r="D73" i="2"/>
  <c r="D74" i="2"/>
  <c r="D75" i="2"/>
  <c r="D76" i="2"/>
  <c r="D77" i="2"/>
  <c r="G80" i="2"/>
  <c r="D21" i="3" l="1"/>
  <c r="D78" i="2"/>
  <c r="F30" i="2"/>
  <c r="F31" i="2"/>
  <c r="F32" i="2"/>
  <c r="F33" i="2"/>
  <c r="F34" i="2"/>
  <c r="F35" i="2"/>
  <c r="F36" i="2"/>
  <c r="F37" i="2"/>
  <c r="F38" i="2"/>
  <c r="F39" i="2"/>
  <c r="F40" i="2"/>
  <c r="F41" i="2"/>
  <c r="F42" i="2"/>
  <c r="F43" i="2"/>
  <c r="F44" i="2"/>
  <c r="F45" i="2"/>
  <c r="F46" i="2"/>
  <c r="F47" i="2"/>
  <c r="F29" i="2"/>
  <c r="E48" i="2"/>
  <c r="D30" i="2"/>
  <c r="D31" i="2"/>
  <c r="D32" i="2"/>
  <c r="D33" i="2"/>
  <c r="D34" i="2"/>
  <c r="D35" i="2"/>
  <c r="D36" i="2"/>
  <c r="D37" i="2"/>
  <c r="D38" i="2"/>
  <c r="D39" i="2"/>
  <c r="D40" i="2"/>
  <c r="D41" i="2"/>
  <c r="D42" i="2"/>
  <c r="D43" i="2"/>
  <c r="D44" i="2"/>
  <c r="D45" i="2"/>
  <c r="D46" i="2"/>
  <c r="D29" i="2"/>
  <c r="C22" i="2"/>
  <c r="D22" i="2" s="1"/>
  <c r="F6" i="2"/>
  <c r="F7" i="2"/>
  <c r="F8" i="2"/>
  <c r="F9" i="2"/>
  <c r="F10" i="2"/>
  <c r="F11" i="2"/>
  <c r="F12" i="2"/>
  <c r="F13" i="2"/>
  <c r="F14" i="2"/>
  <c r="F15" i="2"/>
  <c r="F16" i="2"/>
  <c r="F17" i="2"/>
  <c r="F18" i="2"/>
  <c r="F19" i="2"/>
  <c r="F21" i="2"/>
  <c r="E22" i="2"/>
  <c r="C23" i="7"/>
  <c r="C31" i="7" s="1"/>
  <c r="F48" i="2" l="1"/>
  <c r="F5" i="2"/>
  <c r="F22" i="2" s="1"/>
  <c r="C54" i="6"/>
  <c r="G24" i="2" l="1"/>
  <c r="F25" i="2"/>
  <c r="C23" i="6"/>
  <c r="C20" i="5" l="1"/>
  <c r="C100" i="3" l="1"/>
  <c r="C105" i="3" s="1"/>
  <c r="C21" i="3" l="1"/>
  <c r="C78" i="2" l="1"/>
  <c r="C142" i="1" l="1"/>
  <c r="C145" i="1" s="1"/>
  <c r="C118" i="1"/>
  <c r="C121" i="1" s="1"/>
  <c r="C95" i="1"/>
  <c r="C98" i="1" s="1"/>
  <c r="C71" i="1"/>
  <c r="C74" i="1" s="1"/>
  <c r="C47" i="1"/>
  <c r="D47" i="3"/>
  <c r="D48" i="3" s="1"/>
  <c r="G50" i="3" s="1"/>
  <c r="C48" i="3"/>
  <c r="C52" i="3" s="1"/>
  <c r="D73" i="3"/>
  <c r="D74" i="3" s="1"/>
  <c r="C74" i="3"/>
  <c r="C78" i="3" s="1"/>
  <c r="D23" i="1"/>
  <c r="G25" i="1" s="1"/>
  <c r="C23" i="1"/>
  <c r="C48" i="2" l="1"/>
  <c r="C52" i="2" s="1"/>
  <c r="D47" i="2"/>
  <c r="D48" i="2"/>
  <c r="G50" i="2" s="1"/>
</calcChain>
</file>

<file path=xl/sharedStrings.xml><?xml version="1.0" encoding="utf-8"?>
<sst xmlns="http://schemas.openxmlformats.org/spreadsheetml/2006/main" count="1119" uniqueCount="404">
  <si>
    <t>TÊN SẢN PHẨM:</t>
  </si>
  <si>
    <t xml:space="preserve"> SHIMMERING &amp; HYDRATING LIQUID BLUSH (Màu cánh hồng khô)</t>
  </si>
  <si>
    <t>STT</t>
  </si>
  <si>
    <t>Định mức 4,5 gr / sp</t>
  </si>
  <si>
    <t>Ghi chú</t>
  </si>
  <si>
    <t>Glycerin</t>
  </si>
  <si>
    <t>Tên nguyên liệu theo hóa đơn</t>
  </si>
  <si>
    <t>Cosmol 222</t>
  </si>
  <si>
    <t>Sophim MC 300</t>
  </si>
  <si>
    <t>Dầu Hướng Dương</t>
  </si>
  <si>
    <t>Dầu hạt trà</t>
  </si>
  <si>
    <t>Synthetic Beeswax</t>
  </si>
  <si>
    <t>Hibiscus EX - Bụp giấm</t>
  </si>
  <si>
    <t>SF 1642</t>
  </si>
  <si>
    <t>Cyclopentasiloxane (Reshine D5)</t>
  </si>
  <si>
    <t>Pearl Extract - Ngọc Trai</t>
  </si>
  <si>
    <t>Glycerine 99,7% USP</t>
  </si>
  <si>
    <t>Dehymuls LE</t>
  </si>
  <si>
    <t>Flowsta Aso</t>
  </si>
  <si>
    <t>PT1BM30R7C</t>
  </si>
  <si>
    <t>PT1BM70U</t>
  </si>
  <si>
    <t>Microcare PEHG</t>
  </si>
  <si>
    <t>Allantion USP</t>
  </si>
  <si>
    <t>Nước</t>
  </si>
  <si>
    <t>Thùng carton</t>
  </si>
  <si>
    <t>Băng keo</t>
  </si>
  <si>
    <t>16 thùng</t>
  </si>
  <si>
    <t>2 cuộn</t>
  </si>
  <si>
    <t>Đóng 5.000 sản phẩm</t>
  </si>
  <si>
    <t>SỐ LƯỢNG: 5.000</t>
  </si>
  <si>
    <t>TỔNG CỘNG THÀNH PHẦN:</t>
  </si>
  <si>
    <t>BẢNG ĐỊNH MỨC SẢN PHẨM - 2025</t>
  </si>
  <si>
    <t xml:space="preserve"> SHIMMERING &amp; HYDRATING LIQUID BLUSH (Màu hồng Lavender)</t>
  </si>
  <si>
    <t>PT1BM70R</t>
  </si>
  <si>
    <t xml:space="preserve"> SHIMMERING &amp; HYDRATING LIQUID BLUSH (Màu đỏ dưa hấu)</t>
  </si>
  <si>
    <t xml:space="preserve"> SHIMMERING &amp; HYDRATING LIQUID BLUSH (Màu cánh hồng sữa dâu)</t>
  </si>
  <si>
    <t xml:space="preserve"> SHIMMERING &amp; HYDRATING LIQUID BLUSH (Màu hoa anh đào)</t>
  </si>
  <si>
    <t xml:space="preserve"> SHIMMERING &amp; HYDRATING LIQUID BLUSH (Màu hồng ổi)</t>
  </si>
  <si>
    <t>SodiumMethyl Cocoyl Taurate (Remild CT35)</t>
  </si>
  <si>
    <t>VITAMIN BRIGHTENING CLEANSING GEL</t>
  </si>
  <si>
    <t>SỐ LƯỢNG: 2.006</t>
  </si>
  <si>
    <t>Định mức 100 gr / sp</t>
  </si>
  <si>
    <t>Akobiol HGL Witch Hazel</t>
  </si>
  <si>
    <t>Texapon N70T</t>
  </si>
  <si>
    <t>ALPAFLOR EDELWEISS CB</t>
  </si>
  <si>
    <t>Bí Ngô</t>
  </si>
  <si>
    <t>NexTrac LOTUS L LC</t>
  </si>
  <si>
    <t>Resassol HR</t>
  </si>
  <si>
    <t xml:space="preserve"> Pentavitin</t>
  </si>
  <si>
    <t>Palm Kernel Diethanolamide (PKDE 90)</t>
  </si>
  <si>
    <t>DL-A-Tocopheryl Actate</t>
  </si>
  <si>
    <t>Fresh Orchid GP 1146</t>
  </si>
  <si>
    <t>Triethanolamine (Tea)</t>
  </si>
  <si>
    <t>Nguyên liệu trang trí Pearlets</t>
  </si>
  <si>
    <t>Dissolvine Na2</t>
  </si>
  <si>
    <t>Hộp giấy Noé - Vitamin Brightening Cleansing Gel</t>
  </si>
  <si>
    <t>MOISTURIZING FACIAL MASK</t>
  </si>
  <si>
    <t>Zemea Propanediol</t>
  </si>
  <si>
    <t>Định mức 30 gr / sp</t>
  </si>
  <si>
    <t>AC Care 1000</t>
  </si>
  <si>
    <t>Bí ngô</t>
  </si>
  <si>
    <t>Riceker GNBN</t>
  </si>
  <si>
    <t xml:space="preserve"> Licorrice Ex - Cam Thảo</t>
  </si>
  <si>
    <t>Earth Marine Water GP</t>
  </si>
  <si>
    <t>Niacinamide PC</t>
  </si>
  <si>
    <t>Hyluronsan HA-LQH</t>
  </si>
  <si>
    <t>Akobiol HGL Centella</t>
  </si>
  <si>
    <t>Cellulose Ether (Mecellose)-HEC</t>
  </si>
  <si>
    <t>Emarol 20</t>
  </si>
  <si>
    <t>Glydant 2000</t>
  </si>
  <si>
    <t>Hộp giấy Noé - Moisturizing Facial Mask</t>
  </si>
  <si>
    <t xml:space="preserve"> ANTI-AGING UV PROTECTION SUNSCREEN</t>
  </si>
  <si>
    <t>SỐ LƯỢNG: 2.009</t>
  </si>
  <si>
    <t>Định mức 50 gr / sp</t>
  </si>
  <si>
    <t>Tegosoft TN</t>
  </si>
  <si>
    <t>Parleam 4</t>
  </si>
  <si>
    <t>Ethylhexyl Methoxycinnamate</t>
  </si>
  <si>
    <t xml:space="preserve"> STV -455</t>
  </si>
  <si>
    <t xml:space="preserve"> Silsoft 1540</t>
  </si>
  <si>
    <t>SUNOBEL PA</t>
  </si>
  <si>
    <t>Octocrylene</t>
  </si>
  <si>
    <t>Parsol Max 25kg 
Plastic DR</t>
  </si>
  <si>
    <t>Cotton hug - Hạt Bông Vải</t>
  </si>
  <si>
    <t>Dầu cám gạo</t>
  </si>
  <si>
    <t>Water clear Refiined Jojoba Oil</t>
  </si>
  <si>
    <t>SA/NAI-TR-10/D5(80%)MIBRID</t>
  </si>
  <si>
    <t>S-Ben W</t>
  </si>
  <si>
    <t xml:space="preserve"> Fresh Orchid GP 1146</t>
  </si>
  <si>
    <t>Neelicol Red Iron Oxide</t>
  </si>
  <si>
    <t>MELASMA CREAM</t>
  </si>
  <si>
    <t>SỐ LƯỢNG: 1.045</t>
  </si>
  <si>
    <t>Myritol 318 RC</t>
  </si>
  <si>
    <t>Cetyl Alcohol</t>
  </si>
  <si>
    <t>Glycolic Acid</t>
  </si>
  <si>
    <t>Dầu Oliu (Pomance Olive Oil)</t>
  </si>
  <si>
    <t>Neowax 165</t>
  </si>
  <si>
    <t>Alpha-Arbutin</t>
  </si>
  <si>
    <t>Kojic Acid</t>
  </si>
  <si>
    <t>Muguet Flower Ex - Linh lan</t>
  </si>
  <si>
    <t xml:space="preserve"> Microcare PEHG</t>
  </si>
  <si>
    <t>Xanthan Gum FNCS FG</t>
  </si>
  <si>
    <t>GLOW LOTION</t>
  </si>
  <si>
    <t>SỐ LƯỢNG: 2.000</t>
  </si>
  <si>
    <t>Định mức 150 gr / sp</t>
  </si>
  <si>
    <t>Aloe Vera Inner Gel Decolorized 1 X</t>
  </si>
  <si>
    <t xml:space="preserve"> Earth Marine Water GP</t>
  </si>
  <si>
    <t>Sinopol 25</t>
  </si>
  <si>
    <t>Vitamin PP (Niacinamide)</t>
  </si>
  <si>
    <t xml:space="preserve"> L-Glutathione Reduced</t>
  </si>
  <si>
    <t xml:space="preserve"> Makimouse 7</t>
  </si>
  <si>
    <t>WHITENING CREAM</t>
  </si>
  <si>
    <t>SỐ LƯỢNG: 1.026</t>
  </si>
  <si>
    <t>Saffron Ex-Nhụy hoa nghệ tây</t>
  </si>
  <si>
    <t>Cestopal 18/21M</t>
  </si>
  <si>
    <t xml:space="preserve"> SpecWhite TA - Tranexamic Acid</t>
  </si>
  <si>
    <t>WP-APT3 500H</t>
  </si>
  <si>
    <t xml:space="preserve"> Allantion USP</t>
  </si>
  <si>
    <t xml:space="preserve">MOISTURIZING CREAM </t>
  </si>
  <si>
    <t xml:space="preserve"> IPM (Palmsurf IPM 98)</t>
  </si>
  <si>
    <t>TCG-M</t>
  </si>
  <si>
    <t xml:space="preserve"> Amud MG 60-04 K</t>
  </si>
  <si>
    <t>Cetiol SB 45</t>
  </si>
  <si>
    <t xml:space="preserve"> D-Panthenol 98%</t>
  </si>
  <si>
    <t>Ceramide LC S-20</t>
  </si>
  <si>
    <t>Hyaurosan HA-LQH</t>
  </si>
  <si>
    <t>SpecWhite TA - Tranexamic Acid</t>
  </si>
  <si>
    <t>Disodium EDTA</t>
  </si>
  <si>
    <t>ACNES CONTROL GEL</t>
  </si>
  <si>
    <t>Định mức 15 gr / sp</t>
  </si>
  <si>
    <t>Vegeles AHA LS9955</t>
  </si>
  <si>
    <t>Bee Tox H</t>
  </si>
  <si>
    <t xml:space="preserve"> Akobiol HGL Centella</t>
  </si>
  <si>
    <t>Tinh dầu tràm trà</t>
  </si>
  <si>
    <t>Cồn 96 độ</t>
  </si>
  <si>
    <t>Salicylic Acid</t>
  </si>
  <si>
    <t>D-Panthenol 98%</t>
  </si>
  <si>
    <t>Lactic Acid</t>
  </si>
  <si>
    <t>Xanthan Gum FNCS</t>
  </si>
  <si>
    <t>Makimouse 7</t>
  </si>
  <si>
    <t>Hương Fresh Orchid</t>
  </si>
  <si>
    <t>Propylene Glycol</t>
  </si>
  <si>
    <t>MÀNG CO</t>
  </si>
  <si>
    <t>THÙNG CARTON</t>
  </si>
  <si>
    <t>BĂNG KEO</t>
  </si>
  <si>
    <t>2 kg</t>
  </si>
  <si>
    <t>8 thùng</t>
  </si>
  <si>
    <t>1 cuộn</t>
  </si>
  <si>
    <t xml:space="preserve"> GEL MASSAGE BODY CAO GỪNG HOÀNG CUNG</t>
  </si>
  <si>
    <t>Định mức 120 gr / sp</t>
  </si>
  <si>
    <t xml:space="preserve"> Propylene Glycol</t>
  </si>
  <si>
    <t>Tinh dầu gừng</t>
  </si>
  <si>
    <t>Trang trí Petals</t>
  </si>
  <si>
    <t xml:space="preserve"> Carbomer 940 EZ</t>
  </si>
  <si>
    <t>HotFlux</t>
  </si>
  <si>
    <t>Water</t>
  </si>
  <si>
    <t>Màng co</t>
  </si>
  <si>
    <t>13 cuộn</t>
  </si>
  <si>
    <t>15 kg</t>
  </si>
  <si>
    <t>104 thùng</t>
  </si>
  <si>
    <t>SỐ LƯỢNG: 200</t>
  </si>
  <si>
    <t>Định mức 200 gr / sp</t>
  </si>
  <si>
    <t>WHITENING BODY CREAM</t>
  </si>
  <si>
    <t>Octyl Methoxcinnamate</t>
  </si>
  <si>
    <t>SA/NAI-TR-10/D5 (80%) MIBRID</t>
  </si>
  <si>
    <t>Amud MG 60-04 K</t>
  </si>
  <si>
    <t xml:space="preserve"> Glycerine 99,7% USP</t>
  </si>
  <si>
    <t xml:space="preserve"> ALPAFLOR EDELWEISS CB</t>
  </si>
  <si>
    <t>Monoi Paradis</t>
  </si>
  <si>
    <t xml:space="preserve"> Allantoin USP</t>
  </si>
  <si>
    <t>7 thùng</t>
  </si>
  <si>
    <t>đóng 200 sản phẩm</t>
  </si>
  <si>
    <t>1 kg</t>
  </si>
  <si>
    <t>SUN CREAM</t>
  </si>
  <si>
    <t xml:space="preserve"> Octyl Methoxcinnamate</t>
  </si>
  <si>
    <t>Silsoft 1540</t>
  </si>
  <si>
    <t xml:space="preserve">Bentone Luxe XO </t>
  </si>
  <si>
    <t xml:space="preserve"> Silight 6MC</t>
  </si>
  <si>
    <t>Hương Fresh Orchird</t>
  </si>
  <si>
    <t>2 thùng</t>
  </si>
  <si>
    <t>BRIGHTENING SERUM</t>
  </si>
  <si>
    <t>D- Panthenol 98%</t>
  </si>
  <si>
    <t>Collagen peptide 300</t>
  </si>
  <si>
    <t>Pentavitin</t>
  </si>
  <si>
    <t>Sepimax Zen</t>
  </si>
  <si>
    <t>Hương Fresh Orchid GP 1146</t>
  </si>
  <si>
    <t>SỐ LƯỢNG: 1.023</t>
  </si>
  <si>
    <t>Màng nhôm phức hợp phi 81.2</t>
  </si>
  <si>
    <t>HÓA ĐƠN SỐ:  08 Ngày 29/12/2025</t>
  </si>
  <si>
    <t>HÓA ĐƠN SỐ:  09 + 10 Ngày 31/12/2025</t>
  </si>
  <si>
    <t>HÓA ĐƠN SỐ:  07 Ngày 20/12/2025</t>
  </si>
  <si>
    <t>HÓA ĐƠN SỐ:  06 Ngày 17/12/2025</t>
  </si>
  <si>
    <t>HÓA ĐƠN SỐ:  05 Ngày 09/12/2025</t>
  </si>
  <si>
    <t>Tube nhựa Acrylic 100ml</t>
  </si>
  <si>
    <t>Tube nhựa Acrylic 50ml</t>
  </si>
  <si>
    <t>Mặt nạ</t>
  </si>
  <si>
    <t>Túi mặt nạ xanh (túi nhôm Noé - Moisturizing Facial Mask)</t>
  </si>
  <si>
    <t>Hộp giấy Noé - Anti - Aging UV Protection Sunscreen</t>
  </si>
  <si>
    <t>SỐ LƯỢNG: 10.000 CÁI - XUẤT HÓA ĐƠN (ĐÓNG GÓI 5C/HỘP) = 2.000 HỘP</t>
  </si>
  <si>
    <t>Hủ nhựa 50gr Ohelah</t>
  </si>
  <si>
    <t>Hũ nhựa Acrylic 50gr</t>
  </si>
  <si>
    <t>Tube nhựa rỗng loại 50ml (1.800)/Bao bì tube 50gr (2.400)</t>
  </si>
  <si>
    <t>Chai nhựa Acrylic 150ml (500)/ Chai nhựa 150ml (1.500)</t>
  </si>
  <si>
    <t>Tube nhựa Acrylic 30gr (400)/Vỏ tube nhựa (400)/Tube 30ml (1.200)</t>
  </si>
  <si>
    <t>Hũ nhựa 200g</t>
  </si>
  <si>
    <t>Hộp Ohelah - Melasma Cream (1.200)/Hộp Ohelah - Melasma Cream (800)</t>
  </si>
  <si>
    <t xml:space="preserve">Hộp Ohelah - Glow Lotion (500) + Hộp Ohelah - Glow Lotion (1.500) </t>
  </si>
  <si>
    <t>Hộp Ohelah - MOISTURIZING CREAM</t>
  </si>
  <si>
    <t>Hộp Ohelah - WHITENING CREAM</t>
  </si>
  <si>
    <t>Chai thủy tinh kèm nắp BD003</t>
  </si>
  <si>
    <t>In gia công Chai thủy tinh Lala 30ml</t>
  </si>
  <si>
    <t>Tem - In nhãn (Tem TV 3*6cm) (1.000)+ In nhãn ( Tem TV 3*5.5cm) (26)</t>
  </si>
  <si>
    <t>Tem - In nhãn (Tem TV KT 7*2.8cm) (1.000) + In nhãn ( Tem TV 3*5.5cm) (45)</t>
  </si>
  <si>
    <t>Tem - In nhãn (Tem TV 3.6*4.5cm)</t>
  </si>
  <si>
    <t>Tem - In nhãn (Tem TV 3*6) (1.000) +  In nhãn ( Tem TV 3*5.5cm) (23)</t>
  </si>
  <si>
    <t>Hủ nhựa CT-120</t>
  </si>
  <si>
    <t>Tem - In nhãn (Tem tròn 2*2)</t>
  </si>
  <si>
    <t>Hộp giấy Whitening Body Cream</t>
  </si>
  <si>
    <t>Hộp giấy Sun Cream</t>
  </si>
  <si>
    <t>Hộp giấy Lala</t>
  </si>
  <si>
    <t>TỔNG TL SX:</t>
  </si>
  <si>
    <t>Định mức 100gr/sp bao gồm hao hụt</t>
  </si>
  <si>
    <t>kiểm nghiệm</t>
  </si>
  <si>
    <t>lưu mẫu</t>
  </si>
  <si>
    <t>Hao hụt</t>
  </si>
  <si>
    <t>Tổng trọng lượng SD thực tế
201.000 gr</t>
  </si>
  <si>
    <t>Tổng TL SX chuẩn
300.000 gr</t>
  </si>
  <si>
    <t>Định mức 30gr/sp bao gồm hao hụt</t>
  </si>
  <si>
    <t>Tổng trọng lượng SD thực tế
301.280 gr</t>
  </si>
  <si>
    <t>Tổng TL SX chuẩn
60.270 gr</t>
  </si>
  <si>
    <t>Tổng trọng lượng SD thực tế
100.822</t>
  </si>
  <si>
    <t>Tổng TL SX chuẩn
200.000 gr</t>
  </si>
  <si>
    <t>Tổng TL SX chuẩn
30.000</t>
  </si>
  <si>
    <t>Tổng trọng lượng SD thực tế</t>
  </si>
  <si>
    <t>Định mức 50gr/sp bao gồm hao hụt</t>
  </si>
  <si>
    <t>Định mức 150gr/sp bao gồm hao hụt</t>
  </si>
  <si>
    <t xml:space="preserve">Tổng TL SX chuẩn
</t>
  </si>
  <si>
    <t>Định mức 4,5gr/sp bao gồm hao hụt</t>
  </si>
  <si>
    <t>Tổng TL SX chuẩn
22.500</t>
  </si>
  <si>
    <t xml:space="preserve">Iron Oxides (CI 77491) </t>
  </si>
  <si>
    <t>hao hụt</t>
  </si>
  <si>
    <t>Định mức 15 gr/sp bao gồm hao hụt</t>
  </si>
  <si>
    <t>làm mẫu</t>
  </si>
  <si>
    <t>Định mức 50 gr/sp bao gồm hao hụt</t>
  </si>
  <si>
    <t>Định mức 200 gr/sp bao gồm hao hụt</t>
  </si>
  <si>
    <t>Định mức 30 gr/sp bao gồm hao hụt</t>
  </si>
  <si>
    <t>BẢNG ĐỊNH MỨC SẢN PHẨM - 2026</t>
  </si>
  <si>
    <t>SỐ LƯỢNG: 250</t>
  </si>
  <si>
    <t>Định mức 100 ML / sp</t>
  </si>
  <si>
    <t>72 HOURS MIRACLE SERUM - 100ML</t>
  </si>
  <si>
    <t>Propanediol</t>
  </si>
  <si>
    <t>Niacinamide</t>
  </si>
  <si>
    <t>Saccharide Isomerate, Aqua, Citric Acid, Sodium Citrate</t>
  </si>
  <si>
    <t>Glycerin, Aqua, Leontopodium Alpinum Flower/Leaf Extract, Citric Acid</t>
  </si>
  <si>
    <t>Alpha Arbutin</t>
  </si>
  <si>
    <t>Aloe Barbadensis Leaf Juice</t>
  </si>
  <si>
    <t>Hydrolyzed Collagen</t>
  </si>
  <si>
    <t>Panthenol</t>
  </si>
  <si>
    <t>Sodium Hyaluronate</t>
  </si>
  <si>
    <t>Sodium Polyacrylate Starch</t>
  </si>
  <si>
    <t>Phenoxyethanol, Ethylhexylglycerin</t>
  </si>
  <si>
    <t>Allantoin</t>
  </si>
  <si>
    <t>PEG-40 Hydrogenated Castor oil</t>
  </si>
  <si>
    <t>Fragrance</t>
  </si>
  <si>
    <t>Tem TV</t>
  </si>
  <si>
    <t>3 thùng</t>
  </si>
  <si>
    <t>0,5 kg</t>
  </si>
  <si>
    <t>1/2  cuộn</t>
  </si>
  <si>
    <t>Định mức 100 gr/sp bao gồm hao hụt</t>
  </si>
  <si>
    <t>72 HOURS MIRACLE SERUM - 300ML</t>
  </si>
  <si>
    <t>SỐ LƯỢNG: 118</t>
  </si>
  <si>
    <t>Định mức 300 ML / sp</t>
  </si>
  <si>
    <t>Định mức 300 gr/sp bao gồm hao hụt</t>
  </si>
  <si>
    <t>1/2 cuộn</t>
  </si>
  <si>
    <t>NANO HA MICRO SURGE CREAM - 50gr</t>
  </si>
  <si>
    <t>Caprylic/Capric Triglyceride</t>
  </si>
  <si>
    <t>Glyceryl Stearate, PEG-100 Stearate</t>
  </si>
  <si>
    <t>Triethylhexanoin</t>
  </si>
  <si>
    <t>Hydrogenated Cetyl Olive Oil Esters</t>
  </si>
  <si>
    <t>Cetearyl Alcohol</t>
  </si>
  <si>
    <t xml:space="preserve">Steareth-21 </t>
  </si>
  <si>
    <t>Prunus Persica (Peach) Flower Extract, Robinia Pseudoacacia Flower Extract, Prunus Serrulata Flower Extract,  Prunus Mume Flower Extract,  Magnolia Kobus Flower Extract,  Lilium Tigrinum Flower/Leaf/Stem Extract,  Thymus Vulgaris (Thyme) Flower/Leaf Extract, Butylene Glycol, 1,2-Hexanediol</t>
  </si>
  <si>
    <t>Hydrolyzed Hyaluronic Acid</t>
  </si>
  <si>
    <t>BHT</t>
  </si>
  <si>
    <t>SOOTHING MICELLAR CLEANSING WATER</t>
  </si>
  <si>
    <t>SỐ LƯỢNG: 2.026</t>
  </si>
  <si>
    <t>Babassu Oil Glycereth-8 Esters, Water</t>
  </si>
  <si>
    <t>Nelumbo Nucifera Leaf Extract, Camellia Sinensis Leaf Extract, Psidium Guajava Leaf Extract, Angelica Gigas Extract, Butylene Glycol</t>
  </si>
  <si>
    <t>Water, Propanediol, Cucurbita Pepo (Pumpkin) Fruit Extract</t>
  </si>
  <si>
    <t>Anthemis Nobilis Flower Extract; Water; Butylene Glycol; 1,2-Hexanediol</t>
  </si>
  <si>
    <t xml:space="preserve">Propylene Glycol </t>
  </si>
  <si>
    <t xml:space="preserve">Sodium Hyaluronate </t>
  </si>
  <si>
    <t>PEG-40 Hydrogenated Castor Oil</t>
  </si>
  <si>
    <t>Chai</t>
  </si>
  <si>
    <t>Hộp giấy</t>
  </si>
  <si>
    <t>Tem NP</t>
  </si>
  <si>
    <t>Tổng trọng lượng SD thực tế
203.800 gr</t>
  </si>
  <si>
    <t>SỐ LƯỢNG: 1000</t>
  </si>
  <si>
    <t xml:space="preserve"> ACNES CONTROL CREAM</t>
  </si>
  <si>
    <t>Polyethylen Glycol</t>
  </si>
  <si>
    <t>Dimethicone</t>
  </si>
  <si>
    <t>Tocopheryl Acetate</t>
  </si>
  <si>
    <t>Camellia Sinensis Leaf Extract, Capryloyl Salicylic Acid, Sodium Tocopheryl Phosphate, Sophora Angustifolia Root Extract, Bambusa Vulgaris Extract, Citrus Paradisi (Grapefruit) Fruit Extract, Eucalyptus Globulus Leaf Extract, Punica Granatum Fruit Extract, Eugenia Caryophyllus (Clove) Flower Extract, Capryloyl Glycin, Pyridoxine, Water, Butylene Glycol, 1,2-Hexanediol</t>
  </si>
  <si>
    <t>Ethylhexyglycerin, Phenoxyethanol</t>
  </si>
  <si>
    <t>Citric Acid</t>
  </si>
  <si>
    <t>Xanthan Gum</t>
  </si>
  <si>
    <t>Melaleuca Altemifolia Leaf Oil</t>
  </si>
  <si>
    <t>Tetrasodium EDTA</t>
  </si>
  <si>
    <t>Retinol</t>
  </si>
  <si>
    <t>Định mức 15gr/sp bao gồm hao hụt</t>
  </si>
  <si>
    <t>Tổng TL SX chuẩn
15000 gr</t>
  </si>
  <si>
    <t>TỔNG TL SX: 15000</t>
  </si>
  <si>
    <t xml:space="preserve">COLLAGEN CREAM </t>
  </si>
  <si>
    <t>Hydrogenated Polyisobutene</t>
  </si>
  <si>
    <t>Vaselin</t>
  </si>
  <si>
    <t>Beeswax</t>
  </si>
  <si>
    <t>Simmondsia Chinensis (Jojoba) Seed Oil</t>
  </si>
  <si>
    <t>Paraffinum Liquidum</t>
  </si>
  <si>
    <t>Cyclopentasiloxane, PEG/PPG-20/15 Dimethicone</t>
  </si>
  <si>
    <t>Magnesium Stearate</t>
  </si>
  <si>
    <t>Titanium Dioxide, Aluminium Hydroxide, Stearic Acid</t>
  </si>
  <si>
    <t>Water, Butylene Glycol, Glycerin, Ethyl Hexanediol, 1,2 – Hexanediol, Hydrolyzed Collagen</t>
  </si>
  <si>
    <t>Euphorbia Cerifera (Candelilla) Wax</t>
  </si>
  <si>
    <t>CI 77491</t>
  </si>
  <si>
    <t>Định mức 20 gr / sp</t>
  </si>
  <si>
    <t>Định mức 20 gr/sp bao gồm hao hụt</t>
  </si>
  <si>
    <t>Tổng TL SX chuẩn
56000 gr</t>
  </si>
  <si>
    <t>Hủ</t>
  </si>
  <si>
    <t>C12-15 Alkyl Benzoate</t>
  </si>
  <si>
    <t>Diisostearyl Malate</t>
  </si>
  <si>
    <t>Cyclopentasiloxane</t>
  </si>
  <si>
    <t>Titanium Dioxide, Aluminum Hydroxide, Stearic Acid</t>
  </si>
  <si>
    <t>Diethylamino Hydroxybenzoyl Hexyl Benzoate</t>
  </si>
  <si>
    <t xml:space="preserve">PEG-30 Dipolyhydroxystearate </t>
  </si>
  <si>
    <t>Silica</t>
  </si>
  <si>
    <t>SỐ LƯỢNG: 1646</t>
  </si>
  <si>
    <t>TỔNG TL SX: 1646</t>
  </si>
  <si>
    <t>SỐ LƯỢNG: 2800</t>
  </si>
  <si>
    <t>Tổng TL SX chuẩn
82300 gr</t>
  </si>
  <si>
    <t>Bloming Rose</t>
  </si>
  <si>
    <t>tube</t>
  </si>
  <si>
    <t>SỐ LƯỢNG: 4766</t>
  </si>
  <si>
    <t xml:space="preserve">Titanium Dioxide, Cyclopentasiloxane, Dimethicone, Disodium Stearoyl Glutamate, Aluminum Hydroxide </t>
  </si>
  <si>
    <t>Hydroxyethyl Acrylate/Sodium Acryloyldimethyl Taurate Copolymer, Hydrogenated Polydecene, Polysorbate 80</t>
  </si>
  <si>
    <t>Định mức  50gr / sp</t>
  </si>
  <si>
    <t>VITALITY SHEET MASK</t>
  </si>
  <si>
    <t>SỐ LƯỢNG: 20.000</t>
  </si>
  <si>
    <t>Định mức  35gr / sp</t>
  </si>
  <si>
    <t>Định mức 35 gr/sp bao gồm hao hụt</t>
  </si>
  <si>
    <t>Glycerin, Caprylic/Capric Triglyceride, Water, Centella Asiatica Extract, Hydrogenated Lecithin, Cholesterol</t>
  </si>
  <si>
    <t>Melaleuca Alternifolia Leaf Oil</t>
  </si>
  <si>
    <t xml:space="preserve">Fragrance </t>
  </si>
  <si>
    <t>DMDM Hydantoin</t>
  </si>
  <si>
    <t>Mask</t>
  </si>
  <si>
    <t xml:space="preserve">Màng co </t>
  </si>
  <si>
    <t>Băng Keo</t>
  </si>
  <si>
    <t>Thùng</t>
  </si>
  <si>
    <t>BB giấy</t>
  </si>
  <si>
    <t>DẦU DƯỠNG TÓC_50ML</t>
  </si>
  <si>
    <t>Olea Europaea (Olive) Fruit Oil</t>
  </si>
  <si>
    <t>Vitis Vinifera (Grape) Seed Oil</t>
  </si>
  <si>
    <t>Oryza Sativa (Rice) Bran Oil</t>
  </si>
  <si>
    <t xml:space="preserve">Simmondsia Chinensis (Jojoba) Seed Oil </t>
  </si>
  <si>
    <t>Argania Spinosa Kernel Oil</t>
  </si>
  <si>
    <t>Santalum Album Wood Oil</t>
  </si>
  <si>
    <t xml:space="preserve">Citrus Aurantium Flower Oil </t>
  </si>
  <si>
    <t>SỐ LƯỢNG: 12.000</t>
  </si>
  <si>
    <t>Định mức 45,1 gr / sp</t>
  </si>
  <si>
    <t>Tổng TL SX chuẩn
541,2 KG</t>
  </si>
  <si>
    <t>Định mức 45,1 gr/sp bao gồm hao hụt</t>
  </si>
  <si>
    <t>Nhãn</t>
  </si>
  <si>
    <t>DẦU DƯỠNG TÓC_100ML</t>
  </si>
  <si>
    <t>SỐ LƯỢNG: 6.000</t>
  </si>
  <si>
    <t>Định mức 91,4 gr / sp</t>
  </si>
  <si>
    <t>Định mức 91,4 gr/sp bao gồm hao hụt</t>
  </si>
  <si>
    <t>SEA SALT SPRAY</t>
  </si>
  <si>
    <t>SỐ LƯỢNG: 2000</t>
  </si>
  <si>
    <t>Sodium Chloride</t>
  </si>
  <si>
    <t>Sea Water, Glycerin, Phenoxyethanol</t>
  </si>
  <si>
    <t xml:space="preserve">Glycerin, Water, Hamamelis Virginiana (Witch Hazel) Leaf Extract </t>
  </si>
  <si>
    <t>Hydrolyzed Keratin</t>
  </si>
  <si>
    <t>Cetrimonium Chloride</t>
  </si>
  <si>
    <t>Polysorbate-20</t>
  </si>
  <si>
    <t>Fresh Orchid</t>
  </si>
  <si>
    <t>Chỉnh lại 40279</t>
  </si>
  <si>
    <t>Chỉnh lại 106117</t>
  </si>
  <si>
    <t>Chỉnh lại 6120</t>
  </si>
  <si>
    <t>Chỉnh thành 4400</t>
  </si>
  <si>
    <t>Chỉnh thành 7900</t>
  </si>
  <si>
    <t>Chỉnh thành 8000</t>
  </si>
  <si>
    <t>Chỉnh thành 8100</t>
  </si>
  <si>
    <t>Chỉnh thành 8300</t>
  </si>
  <si>
    <t>Chỉnh thành 365500</t>
  </si>
  <si>
    <t>Chỉnh thành 34200</t>
  </si>
  <si>
    <t>Chỉnh thành 25400</t>
  </si>
  <si>
    <t>Chỉnh thành 5400</t>
  </si>
  <si>
    <t>Chỉnh thành 234500</t>
  </si>
  <si>
    <t>Chỉnh lại 228500</t>
  </si>
  <si>
    <t>Chỉnh thành 27200</t>
  </si>
  <si>
    <t>Chỉnh lại 632500</t>
  </si>
  <si>
    <t>Chỉnh thành 2700</t>
  </si>
  <si>
    <t>chỉnh thành 731000</t>
  </si>
  <si>
    <t>Chỉnh thành 34300</t>
  </si>
  <si>
    <t>Chỉnh thành 194500</t>
  </si>
  <si>
    <t>Chỉnh thành 191100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</si>
</sst>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_(* #,##0.000_);_(* \(#,##0.000\);_(* &quot;-&quot;??_);_(@_)"/>
    <numFmt numFmtId="166" formatCode="_(* #,##0_);_(* \(#,##0\);_(* &quot;-&quot;??_);_(@_)"/>
    <numFmt numFmtId="167" formatCode="0.000"/>
    <numFmt numFmtId="168" formatCode="_(* #,##0.000_);_(* \(#,##0.000\);_(* &quot;-&quot;???_);_(@_)"/>
    <numFmt numFmtId="169" formatCode="_(* #,##0.0000_);_(* \(#,##0.0000\);_(* &quot;-&quot;??_);_(@_)"/>
    <numFmt numFmtId="170" formatCode="_(* #,##0.00000_);_(* \(#,##0.00000\);_(* &quot;-&quot;??_);_(@_)"/>
    <numFmt numFmtId="171" formatCode="_(* #,##0.00000_);_(* \(#,##0.00000\);_(* &quot;-&quot;?????_);_(@_)"/>
    <numFmt numFmtId="172" formatCode="_(* #,##0.0_);_(* \(#,##0.0\);_(* &quot;-&quot;??_);_(@_)"/>
    <numFmt numFmtId="173" formatCode="_(* #,##0.000000_);_(* \(#,##0.000000\);_(* &quot;-&quot;???_);_(@_)"/>
  </numFmts>
  <fonts count="15" x14ac:knownFonts="1">
    <font>
      <sz val="11"/>
      <color theme="1"/>
      <name val="Calibri"/>
      <family val="2"/>
      <charset val="163"/>
      <scheme val="minor"/>
    </font>
    <font>
      <sz val="11"/>
      <color theme="1"/>
      <name val="Calibri"/>
      <family val="2"/>
      <scheme val="minor"/>
    </font>
    <font>
      <sz val="11"/>
      <color theme="1"/>
      <name val="Calibri"/>
      <family val="2"/>
      <scheme val="minor"/>
    </font>
    <font>
      <sz val="11"/>
      <color theme="1"/>
      <name val="Calibri"/>
      <family val="2"/>
      <charset val="163"/>
      <scheme val="minor"/>
    </font>
    <font>
      <sz val="11"/>
      <color theme="4" tint="-0.499984740745262"/>
      <name val="Cambria"/>
      <family val="1"/>
    </font>
    <font>
      <sz val="11"/>
      <color theme="4" tint="-0.499984740745262"/>
      <name val="Calibri"/>
      <family val="2"/>
      <charset val="163"/>
      <scheme val="minor"/>
    </font>
    <font>
      <b/>
      <sz val="11"/>
      <color theme="4" tint="-0.499984740745262"/>
      <name val="Cambria"/>
      <family val="1"/>
    </font>
    <font>
      <b/>
      <sz val="11"/>
      <color theme="5" tint="-0.249977111117893"/>
      <name val="Cambria"/>
      <family val="1"/>
    </font>
    <font>
      <b/>
      <sz val="16"/>
      <color theme="4" tint="-0.499984740745262"/>
      <name val="Cambria"/>
      <family val="1"/>
    </font>
    <font>
      <i/>
      <sz val="11"/>
      <color theme="4" tint="-0.499984740745262"/>
      <name val="Cambria"/>
      <family val="1"/>
    </font>
    <font>
      <sz val="11"/>
      <color theme="3" tint="-0.249977111117893"/>
      <name val="Cambria"/>
      <family val="1"/>
    </font>
    <font>
      <sz val="12"/>
      <color theme="1"/>
      <name val="Cambria"/>
      <family val="1"/>
    </font>
    <font>
      <b/>
      <sz val="8"/>
      <color theme="5" tint="-0.249977111117893"/>
      <name val="Cambria"/>
      <family val="1"/>
    </font>
    <font>
      <b/>
      <sz val="11"/>
      <color theme="5" tint="-0.249977111117893"/>
      <name val="Calibri"/>
      <family val="2"/>
      <scheme val="minor"/>
    </font>
    <font>
      <sz val="11"/>
      <color theme="5" tint="-0.249977111117893"/>
      <name val="Calibri"/>
      <family val="2"/>
      <charset val="163"/>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2"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1" fillId="0" borderId="0"/>
    <xf numFmtId="0" fontId="1" fillId="0" borderId="0"/>
  </cellStyleXfs>
  <cellXfs count="59">
    <xf numFmtId="0" fontId="0" fillId="0" borderId="0" xfId="0"/>
    <xf numFmtId="0" fontId="5" fillId="0" borderId="0" xfId="0" applyFont="1"/>
    <xf numFmtId="0" fontId="4" fillId="0" borderId="1" xfId="0" applyFont="1" applyBorder="1"/>
    <xf numFmtId="0" fontId="6" fillId="2" borderId="1" xfId="0" applyFont="1" applyFill="1" applyBorder="1" applyAlignment="1">
      <alignment horizontal="center"/>
    </xf>
    <xf numFmtId="0" fontId="7" fillId="0" borderId="1" xfId="0" applyFont="1" applyBorder="1"/>
    <xf numFmtId="0" fontId="7" fillId="0" borderId="1" xfId="0" applyFont="1" applyBorder="1" applyAlignment="1">
      <alignment horizontal="right" indent="1"/>
    </xf>
    <xf numFmtId="0" fontId="7" fillId="0" borderId="0" xfId="0" applyFont="1" applyAlignment="1">
      <alignment vertical="center"/>
    </xf>
    <xf numFmtId="0" fontId="5" fillId="0" borderId="0" xfId="0" applyFont="1" applyAlignment="1">
      <alignment vertical="center"/>
    </xf>
    <xf numFmtId="0" fontId="6" fillId="2" borderId="1" xfId="0" applyFont="1" applyFill="1" applyBorder="1" applyAlignment="1">
      <alignment horizontal="center" vertical="center"/>
    </xf>
    <xf numFmtId="0" fontId="4" fillId="0" borderId="1" xfId="0" applyFont="1" applyBorder="1" applyAlignment="1">
      <alignment horizontal="center" vertical="center"/>
    </xf>
    <xf numFmtId="165" fontId="4" fillId="0" borderId="1" xfId="1" applyNumberFormat="1" applyFont="1" applyBorder="1"/>
    <xf numFmtId="164" fontId="7" fillId="0" borderId="1" xfId="0" applyNumberFormat="1" applyFont="1" applyBorder="1"/>
    <xf numFmtId="166" fontId="7" fillId="0" borderId="1" xfId="0" applyNumberFormat="1" applyFont="1" applyBorder="1"/>
    <xf numFmtId="0" fontId="4" fillId="0" borderId="1" xfId="0" applyFont="1" applyBorder="1" applyAlignment="1">
      <alignment wrapText="1"/>
    </xf>
    <xf numFmtId="0" fontId="4" fillId="0" borderId="1" xfId="0" applyFont="1" applyBorder="1" applyAlignment="1">
      <alignment horizontal="left"/>
    </xf>
    <xf numFmtId="0" fontId="10" fillId="0" borderId="1" xfId="6" applyFont="1" applyBorder="1" applyAlignment="1">
      <alignment vertical="center"/>
    </xf>
    <xf numFmtId="167" fontId="11" fillId="0" borderId="1" xfId="6" applyNumberFormat="1" applyFont="1" applyBorder="1" applyAlignment="1">
      <alignment horizontal="left" vertical="center"/>
    </xf>
    <xf numFmtId="166" fontId="7" fillId="0" borderId="0" xfId="1" applyNumberFormat="1" applyFont="1" applyAlignment="1">
      <alignment vertical="center"/>
    </xf>
    <xf numFmtId="166" fontId="4" fillId="0" borderId="1" xfId="1" applyNumberFormat="1" applyFont="1" applyBorder="1"/>
    <xf numFmtId="166" fontId="7" fillId="0" borderId="1" xfId="1" applyNumberFormat="1" applyFont="1" applyBorder="1"/>
    <xf numFmtId="166" fontId="5" fillId="0" borderId="0" xfId="1" applyNumberFormat="1" applyFont="1"/>
    <xf numFmtId="164" fontId="7" fillId="0" borderId="0" xfId="1" applyFont="1" applyAlignment="1">
      <alignment vertical="center"/>
    </xf>
    <xf numFmtId="164" fontId="4" fillId="0" borderId="1" xfId="1" applyFont="1" applyBorder="1"/>
    <xf numFmtId="164" fontId="7" fillId="0" borderId="1" xfId="1" applyFont="1" applyBorder="1"/>
    <xf numFmtId="164" fontId="5" fillId="0" borderId="0" xfId="1" applyFont="1"/>
    <xf numFmtId="164" fontId="6" fillId="2" borderId="1" xfId="1" applyFont="1" applyFill="1" applyBorder="1" applyAlignment="1">
      <alignment horizontal="center" vertical="center"/>
    </xf>
    <xf numFmtId="164" fontId="6" fillId="2" borderId="1" xfId="1" applyFont="1" applyFill="1" applyBorder="1" applyAlignment="1">
      <alignment horizontal="center" vertical="center" wrapText="1"/>
    </xf>
    <xf numFmtId="166" fontId="6" fillId="2" borderId="1" xfId="1" applyNumberFormat="1" applyFont="1" applyFill="1" applyBorder="1" applyAlignment="1">
      <alignment horizontal="center" vertical="center" wrapText="1"/>
    </xf>
    <xf numFmtId="166" fontId="5" fillId="0" borderId="0" xfId="0" applyNumberFormat="1" applyFont="1" applyAlignment="1">
      <alignment vertical="center"/>
    </xf>
    <xf numFmtId="164" fontId="12" fillId="0" borderId="0" xfId="1" applyFont="1" applyAlignment="1">
      <alignment vertical="center"/>
    </xf>
    <xf numFmtId="0" fontId="5" fillId="0" borderId="1" xfId="0" applyFont="1" applyBorder="1"/>
    <xf numFmtId="168" fontId="4" fillId="0" borderId="1" xfId="0" applyNumberFormat="1" applyFont="1" applyBorder="1"/>
    <xf numFmtId="166" fontId="7" fillId="0" borderId="0" xfId="0" applyNumberFormat="1" applyFont="1" applyAlignment="1">
      <alignment vertical="center"/>
    </xf>
    <xf numFmtId="165" fontId="7" fillId="0" borderId="1" xfId="0" applyNumberFormat="1" applyFont="1" applyBorder="1"/>
    <xf numFmtId="170" fontId="7" fillId="0" borderId="1" xfId="0" applyNumberFormat="1" applyFont="1" applyBorder="1"/>
    <xf numFmtId="171" fontId="5" fillId="0" borderId="0" xfId="0" applyNumberFormat="1" applyFont="1"/>
    <xf numFmtId="168" fontId="5" fillId="0" borderId="0" xfId="0" applyNumberFormat="1" applyFont="1"/>
    <xf numFmtId="169" fontId="7" fillId="0" borderId="1" xfId="1" applyNumberFormat="1" applyFont="1" applyBorder="1"/>
    <xf numFmtId="0" fontId="13" fillId="0" borderId="1" xfId="0" applyFont="1" applyBorder="1"/>
    <xf numFmtId="0" fontId="13" fillId="0" borderId="0" xfId="0" applyFont="1"/>
    <xf numFmtId="166" fontId="13" fillId="0" borderId="1" xfId="0" applyNumberFormat="1" applyFont="1" applyBorder="1"/>
    <xf numFmtId="166" fontId="4" fillId="0" borderId="1" xfId="0" applyNumberFormat="1" applyFont="1" applyBorder="1"/>
    <xf numFmtId="165" fontId="7" fillId="0" borderId="1" xfId="1" applyNumberFormat="1" applyFont="1" applyBorder="1"/>
    <xf numFmtId="0" fontId="14" fillId="0" borderId="1" xfId="0" applyFont="1" applyBorder="1"/>
    <xf numFmtId="0" fontId="14" fillId="0" borderId="0" xfId="0" applyFont="1"/>
    <xf numFmtId="166" fontId="5" fillId="0" borderId="1" xfId="0" applyNumberFormat="1" applyFont="1" applyBorder="1"/>
    <xf numFmtId="165" fontId="5" fillId="0" borderId="0" xfId="0" applyNumberFormat="1" applyFont="1"/>
    <xf numFmtId="172" fontId="4" fillId="0" borderId="1" xfId="1" applyNumberFormat="1" applyFont="1" applyBorder="1"/>
    <xf numFmtId="166" fontId="5" fillId="0" borderId="0" xfId="0" applyNumberFormat="1" applyFont="1"/>
    <xf numFmtId="169" fontId="5" fillId="0" borderId="0" xfId="1" applyNumberFormat="1" applyFont="1"/>
    <xf numFmtId="167" fontId="7" fillId="0" borderId="1" xfId="0" applyNumberFormat="1" applyFont="1" applyBorder="1"/>
    <xf numFmtId="165" fontId="5" fillId="0" borderId="1" xfId="1" applyNumberFormat="1" applyFont="1" applyBorder="1"/>
    <xf numFmtId="167" fontId="5" fillId="0" borderId="0" xfId="0" applyNumberFormat="1" applyFont="1"/>
    <xf numFmtId="173" fontId="5" fillId="0" borderId="0" xfId="0" applyNumberFormat="1" applyFont="1"/>
    <xf numFmtId="0" fontId="10" fillId="0" borderId="1" xfId="6" applyFont="1" applyBorder="1" applyAlignment="1">
      <alignment vertical="center" wrapText="1"/>
    </xf>
    <xf numFmtId="0" fontId="4" fillId="0" borderId="1" xfId="0" applyFont="1" applyBorder="1" applyAlignment="1">
      <alignment horizontal="left" wrapText="1"/>
    </xf>
    <xf numFmtId="169" fontId="4" fillId="0" borderId="1" xfId="1" applyNumberFormat="1" applyFont="1" applyBorder="1"/>
    <xf numFmtId="0" fontId="8" fillId="0" borderId="0" xfId="0" applyFont="1" applyAlignment="1">
      <alignment horizontal="center"/>
    </xf>
    <xf numFmtId="0" fontId="9" fillId="0" borderId="0" xfId="0" applyFont="1" applyAlignment="1">
      <alignment horizontal="center" vertical="center"/>
    </xf>
  </cellXfs>
  <cellStyles count="7">
    <cellStyle name="Comma" xfId="1" builtinId="3"/>
    <cellStyle name="Comma 2" xfId="3" xr:uid="{00000000-0005-0000-0000-000001000000}"/>
    <cellStyle name="Normal" xfId="0" builtinId="0"/>
    <cellStyle name="Normal 2" xfId="6" xr:uid="{00000000-0005-0000-0000-000003000000}"/>
    <cellStyle name="Normal 2 2" xfId="4" xr:uid="{00000000-0005-0000-0000-000004000000}"/>
    <cellStyle name="Normal 3" xfId="5" xr:uid="{00000000-0005-0000-0000-000005000000}"/>
    <cellStyle name="Normal 5" xfId="2"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2"/>
  <sheetViews>
    <sheetView showGridLines="0" tabSelected="1" zoomScale="85" zoomScaleNormal="85" workbookViewId="0">
      <selection activeCell="F13" sqref="F13"/>
    </sheetView>
  </sheetViews>
  <sheetFormatPr defaultColWidth="8.81640625" defaultRowHeight="14.5" x14ac:dyDescent="0.35"/>
  <cols>
    <col min="1" max="1" width="16.81640625" style="7" customWidth="1"/>
    <col min="2" max="2" width="63.54296875" style="1" customWidth="1"/>
    <col min="3" max="3" width="18.81640625" style="24" customWidth="1"/>
    <col min="4" max="4" width="19.08984375" style="20" bestFit="1" customWidth="1"/>
    <col min="5" max="5" width="15.90625" style="20" customWidth="1"/>
    <col min="6" max="6" width="17.90625" style="20" customWidth="1"/>
    <col min="7" max="7" width="23.36328125" style="1" customWidth="1"/>
    <col min="8" max="8" width="9.1796875" style="1" bestFit="1" customWidth="1"/>
    <col min="9" max="16384" width="8.81640625" style="1"/>
  </cols>
  <sheetData>
    <row r="1" spans="1:8" ht="25.5" customHeight="1" x14ac:dyDescent="0.4">
      <c r="A1" s="57" t="s">
        <v>31</v>
      </c>
      <c r="B1" s="57"/>
      <c r="C1" s="57"/>
      <c r="D1" s="57"/>
      <c r="E1" s="57"/>
      <c r="F1" s="57"/>
    </row>
    <row r="2" spans="1:8" x14ac:dyDescent="0.35">
      <c r="A2" s="58"/>
      <c r="B2" s="58"/>
      <c r="C2" s="58"/>
      <c r="D2" s="58"/>
      <c r="E2" s="58"/>
      <c r="F2" s="58"/>
    </row>
    <row r="3" spans="1:8" s="7" customFormat="1" ht="27" customHeight="1" x14ac:dyDescent="0.35">
      <c r="A3" s="6" t="s">
        <v>0</v>
      </c>
      <c r="B3" s="6" t="s">
        <v>39</v>
      </c>
      <c r="C3" s="21" t="s">
        <v>40</v>
      </c>
      <c r="D3" s="17" t="s">
        <v>219</v>
      </c>
      <c r="E3" s="17">
        <v>2000</v>
      </c>
      <c r="F3" s="17">
        <v>2006</v>
      </c>
      <c r="G3" s="28">
        <f>F3*100</f>
        <v>200600</v>
      </c>
      <c r="H3" s="28"/>
    </row>
    <row r="4" spans="1:8" s="7" customFormat="1" ht="53" customHeight="1" x14ac:dyDescent="0.35">
      <c r="A4" s="8" t="s">
        <v>2</v>
      </c>
      <c r="B4" s="8" t="s">
        <v>6</v>
      </c>
      <c r="C4" s="25" t="s">
        <v>41</v>
      </c>
      <c r="D4" s="27" t="s">
        <v>230</v>
      </c>
      <c r="E4" s="27" t="s">
        <v>220</v>
      </c>
      <c r="F4" s="27" t="s">
        <v>224</v>
      </c>
      <c r="G4" s="26" t="s">
        <v>4</v>
      </c>
    </row>
    <row r="5" spans="1:8" x14ac:dyDescent="0.35">
      <c r="A5" s="9">
        <v>1</v>
      </c>
      <c r="B5" s="2" t="s">
        <v>38</v>
      </c>
      <c r="C5" s="22">
        <v>15</v>
      </c>
      <c r="D5" s="47">
        <f t="shared" ref="D5:D22" si="0">C5*$E$3</f>
        <v>30000</v>
      </c>
      <c r="E5" s="18">
        <v>15</v>
      </c>
      <c r="F5" s="22">
        <f t="shared" ref="F5:F21" si="1">E5*$F$3</f>
        <v>30090</v>
      </c>
      <c r="G5" s="2"/>
    </row>
    <row r="6" spans="1:8" x14ac:dyDescent="0.35">
      <c r="A6" s="9">
        <v>2</v>
      </c>
      <c r="B6" s="2" t="s">
        <v>5</v>
      </c>
      <c r="C6" s="22">
        <v>10</v>
      </c>
      <c r="D6" s="47">
        <f t="shared" si="0"/>
        <v>20000</v>
      </c>
      <c r="E6" s="18">
        <v>10</v>
      </c>
      <c r="F6" s="22">
        <f t="shared" si="1"/>
        <v>20060</v>
      </c>
      <c r="G6" s="2"/>
    </row>
    <row r="7" spans="1:8" x14ac:dyDescent="0.35">
      <c r="A7" s="9">
        <v>3</v>
      </c>
      <c r="B7" s="2" t="s">
        <v>42</v>
      </c>
      <c r="C7" s="22">
        <v>0.01</v>
      </c>
      <c r="D7" s="47">
        <f t="shared" si="0"/>
        <v>20</v>
      </c>
      <c r="E7" s="18">
        <v>0.01</v>
      </c>
      <c r="F7" s="22">
        <f t="shared" si="1"/>
        <v>20.059999999999999</v>
      </c>
      <c r="G7" s="2"/>
    </row>
    <row r="8" spans="1:8" x14ac:dyDescent="0.35">
      <c r="A8" s="9">
        <v>4</v>
      </c>
      <c r="B8" s="2" t="s">
        <v>43</v>
      </c>
      <c r="C8" s="22">
        <v>10</v>
      </c>
      <c r="D8" s="47">
        <f t="shared" si="0"/>
        <v>20000</v>
      </c>
      <c r="E8" s="18">
        <v>10</v>
      </c>
      <c r="F8" s="22">
        <f t="shared" si="1"/>
        <v>20060</v>
      </c>
      <c r="G8" s="2"/>
    </row>
    <row r="9" spans="1:8" x14ac:dyDescent="0.35">
      <c r="A9" s="9">
        <v>5</v>
      </c>
      <c r="B9" s="2" t="s">
        <v>44</v>
      </c>
      <c r="C9" s="22">
        <v>0.02</v>
      </c>
      <c r="D9" s="47">
        <f t="shared" si="0"/>
        <v>40</v>
      </c>
      <c r="E9" s="18">
        <v>0.02</v>
      </c>
      <c r="F9" s="22">
        <f t="shared" si="1"/>
        <v>40.119999999999997</v>
      </c>
      <c r="G9" s="2"/>
    </row>
    <row r="10" spans="1:8" x14ac:dyDescent="0.35">
      <c r="A10" s="9">
        <v>6</v>
      </c>
      <c r="B10" s="2" t="s">
        <v>45</v>
      </c>
      <c r="C10" s="22">
        <v>0.01</v>
      </c>
      <c r="D10" s="47">
        <f t="shared" si="0"/>
        <v>20</v>
      </c>
      <c r="E10" s="18">
        <v>0.01</v>
      </c>
      <c r="F10" s="22">
        <f t="shared" si="1"/>
        <v>20.059999999999999</v>
      </c>
      <c r="G10" s="2"/>
    </row>
    <row r="11" spans="1:8" x14ac:dyDescent="0.35">
      <c r="A11" s="9">
        <v>7</v>
      </c>
      <c r="B11" s="2" t="s">
        <v>46</v>
      </c>
      <c r="C11" s="22">
        <v>0.01</v>
      </c>
      <c r="D11" s="47">
        <f t="shared" si="0"/>
        <v>20</v>
      </c>
      <c r="E11" s="18">
        <v>0.01</v>
      </c>
      <c r="F11" s="22">
        <f t="shared" si="1"/>
        <v>20.059999999999999</v>
      </c>
      <c r="G11" s="2"/>
    </row>
    <row r="12" spans="1:8" x14ac:dyDescent="0.35">
      <c r="A12" s="9">
        <v>8</v>
      </c>
      <c r="B12" s="2" t="s">
        <v>47</v>
      </c>
      <c r="C12" s="22">
        <v>3</v>
      </c>
      <c r="D12" s="47">
        <f t="shared" si="0"/>
        <v>6000</v>
      </c>
      <c r="E12" s="18">
        <v>3</v>
      </c>
      <c r="F12" s="22">
        <f t="shared" si="1"/>
        <v>6018</v>
      </c>
      <c r="G12" s="2"/>
    </row>
    <row r="13" spans="1:8" x14ac:dyDescent="0.35">
      <c r="A13" s="9">
        <v>9</v>
      </c>
      <c r="B13" s="2" t="s">
        <v>182</v>
      </c>
      <c r="C13" s="22">
        <v>0.2</v>
      </c>
      <c r="D13" s="47">
        <f t="shared" si="0"/>
        <v>400</v>
      </c>
      <c r="E13" s="18">
        <v>0.2</v>
      </c>
      <c r="F13" s="22">
        <f t="shared" si="1"/>
        <v>401.20000000000005</v>
      </c>
      <c r="G13" s="2"/>
    </row>
    <row r="14" spans="1:8" x14ac:dyDescent="0.35">
      <c r="A14" s="9">
        <v>10</v>
      </c>
      <c r="B14" s="2" t="s">
        <v>49</v>
      </c>
      <c r="C14" s="22">
        <v>4</v>
      </c>
      <c r="D14" s="47">
        <f t="shared" si="0"/>
        <v>8000</v>
      </c>
      <c r="E14" s="18">
        <v>4</v>
      </c>
      <c r="F14" s="22">
        <f t="shared" si="1"/>
        <v>8024</v>
      </c>
      <c r="G14" s="2"/>
    </row>
    <row r="15" spans="1:8" x14ac:dyDescent="0.35">
      <c r="A15" s="9">
        <v>11</v>
      </c>
      <c r="B15" s="2" t="s">
        <v>50</v>
      </c>
      <c r="C15" s="22">
        <v>1</v>
      </c>
      <c r="D15" s="47">
        <f t="shared" si="0"/>
        <v>2000</v>
      </c>
      <c r="E15" s="18">
        <v>1</v>
      </c>
      <c r="F15" s="22">
        <f t="shared" si="1"/>
        <v>2006</v>
      </c>
      <c r="G15" s="2"/>
    </row>
    <row r="16" spans="1:8" x14ac:dyDescent="0.35">
      <c r="A16" s="9">
        <v>12</v>
      </c>
      <c r="B16" s="2" t="s">
        <v>21</v>
      </c>
      <c r="C16" s="22">
        <v>0.5</v>
      </c>
      <c r="D16" s="47">
        <f t="shared" si="0"/>
        <v>1000</v>
      </c>
      <c r="E16" s="18">
        <v>0.5</v>
      </c>
      <c r="F16" s="22">
        <f t="shared" si="1"/>
        <v>1003</v>
      </c>
      <c r="G16" s="2"/>
    </row>
    <row r="17" spans="1:8" x14ac:dyDescent="0.35">
      <c r="A17" s="9">
        <v>13</v>
      </c>
      <c r="B17" s="2" t="s">
        <v>51</v>
      </c>
      <c r="C17" s="22">
        <v>2</v>
      </c>
      <c r="D17" s="47">
        <f t="shared" si="0"/>
        <v>4000</v>
      </c>
      <c r="E17" s="18">
        <v>2</v>
      </c>
      <c r="F17" s="22">
        <f t="shared" si="1"/>
        <v>4012</v>
      </c>
      <c r="G17" s="2"/>
    </row>
    <row r="18" spans="1:8" x14ac:dyDescent="0.35">
      <c r="A18" s="9">
        <v>14</v>
      </c>
      <c r="B18" s="2" t="s">
        <v>52</v>
      </c>
      <c r="C18" s="22">
        <v>1.5</v>
      </c>
      <c r="D18" s="47">
        <f t="shared" si="0"/>
        <v>3000</v>
      </c>
      <c r="E18" s="18">
        <v>1.5</v>
      </c>
      <c r="F18" s="22">
        <f t="shared" si="1"/>
        <v>3009</v>
      </c>
      <c r="G18" s="2"/>
    </row>
    <row r="19" spans="1:8" x14ac:dyDescent="0.35">
      <c r="A19" s="9">
        <v>15</v>
      </c>
      <c r="B19" s="2" t="s">
        <v>53</v>
      </c>
      <c r="C19" s="22">
        <v>0.1</v>
      </c>
      <c r="D19" s="47">
        <f t="shared" si="0"/>
        <v>200</v>
      </c>
      <c r="E19" s="18">
        <v>0.1</v>
      </c>
      <c r="F19" s="22">
        <f t="shared" si="1"/>
        <v>200.60000000000002</v>
      </c>
      <c r="G19" s="2"/>
    </row>
    <row r="20" spans="1:8" x14ac:dyDescent="0.35">
      <c r="A20" s="9">
        <v>16</v>
      </c>
      <c r="B20" s="2" t="s">
        <v>54</v>
      </c>
      <c r="C20" s="22">
        <v>0.05</v>
      </c>
      <c r="D20" s="47">
        <f t="shared" si="0"/>
        <v>100</v>
      </c>
      <c r="E20" s="18">
        <v>0.05</v>
      </c>
      <c r="F20" s="22">
        <f>E20*$F$3</f>
        <v>100.30000000000001</v>
      </c>
      <c r="G20" s="2"/>
    </row>
    <row r="21" spans="1:8" x14ac:dyDescent="0.35">
      <c r="A21" s="9">
        <v>17</v>
      </c>
      <c r="B21" s="2" t="s">
        <v>23</v>
      </c>
      <c r="C21" s="22">
        <v>52.6</v>
      </c>
      <c r="D21" s="47">
        <f t="shared" si="0"/>
        <v>105200</v>
      </c>
      <c r="E21" s="18">
        <v>52.8</v>
      </c>
      <c r="F21" s="18">
        <f t="shared" si="1"/>
        <v>105916.79999999999</v>
      </c>
      <c r="G21" s="2" t="s">
        <v>384</v>
      </c>
    </row>
    <row r="22" spans="1:8" x14ac:dyDescent="0.35">
      <c r="A22" s="9"/>
      <c r="B22" s="5" t="s">
        <v>30</v>
      </c>
      <c r="C22" s="23">
        <f>SUM(C5:C21)</f>
        <v>100</v>
      </c>
      <c r="D22" s="23">
        <f t="shared" si="0"/>
        <v>200000</v>
      </c>
      <c r="E22" s="19">
        <f>SUM(E5:E21)</f>
        <v>100.2</v>
      </c>
      <c r="F22" s="23">
        <f>SUM(F5:F21)</f>
        <v>201001.19999999998</v>
      </c>
      <c r="G22" s="12">
        <v>100</v>
      </c>
      <c r="H22" s="1" t="s">
        <v>221</v>
      </c>
    </row>
    <row r="23" spans="1:8" x14ac:dyDescent="0.35">
      <c r="A23" s="9"/>
      <c r="B23" s="2" t="s">
        <v>192</v>
      </c>
      <c r="C23" s="22">
        <v>1</v>
      </c>
      <c r="D23" s="18"/>
      <c r="E23" s="18"/>
      <c r="F23" s="18"/>
      <c r="G23" s="12">
        <v>200</v>
      </c>
      <c r="H23" s="1" t="s">
        <v>222</v>
      </c>
    </row>
    <row r="24" spans="1:8" x14ac:dyDescent="0.35">
      <c r="A24" s="9"/>
      <c r="B24" s="2" t="s">
        <v>55</v>
      </c>
      <c r="C24" s="22">
        <v>1</v>
      </c>
      <c r="D24" s="18"/>
      <c r="E24" s="18"/>
      <c r="F24" s="18"/>
      <c r="G24" s="12">
        <f>F22-G22-G23-G3</f>
        <v>101.19999999998254</v>
      </c>
      <c r="H24" s="1" t="s">
        <v>223</v>
      </c>
    </row>
    <row r="25" spans="1:8" x14ac:dyDescent="0.35">
      <c r="F25" s="20">
        <f>F22-100</f>
        <v>200901.19999999998</v>
      </c>
    </row>
    <row r="27" spans="1:8" s="7" customFormat="1" ht="27" customHeight="1" x14ac:dyDescent="0.35">
      <c r="A27" s="6" t="s">
        <v>0</v>
      </c>
      <c r="B27" s="6" t="s">
        <v>56</v>
      </c>
      <c r="C27" s="29" t="s">
        <v>197</v>
      </c>
      <c r="D27" s="17"/>
      <c r="E27" s="17"/>
      <c r="F27" s="17">
        <v>10000</v>
      </c>
      <c r="G27" s="32">
        <f>F27*30</f>
        <v>300000</v>
      </c>
    </row>
    <row r="28" spans="1:8" s="7" customFormat="1" ht="53" customHeight="1" x14ac:dyDescent="0.35">
      <c r="A28" s="8" t="s">
        <v>2</v>
      </c>
      <c r="B28" s="8" t="s">
        <v>6</v>
      </c>
      <c r="C28" s="25" t="s">
        <v>58</v>
      </c>
      <c r="D28" s="27" t="s">
        <v>225</v>
      </c>
      <c r="E28" s="27" t="s">
        <v>226</v>
      </c>
      <c r="F28" s="27" t="s">
        <v>227</v>
      </c>
      <c r="G28" s="26" t="s">
        <v>4</v>
      </c>
    </row>
    <row r="29" spans="1:8" x14ac:dyDescent="0.35">
      <c r="A29" s="9">
        <v>1</v>
      </c>
      <c r="B29" s="2" t="s">
        <v>57</v>
      </c>
      <c r="C29" s="22">
        <v>0.15</v>
      </c>
      <c r="D29" s="18">
        <f>C29*$F$27</f>
        <v>1500</v>
      </c>
      <c r="E29" s="22">
        <v>0.15</v>
      </c>
      <c r="F29" s="18">
        <f>E29*$F$27</f>
        <v>1500</v>
      </c>
      <c r="G29" s="2"/>
    </row>
    <row r="30" spans="1:8" x14ac:dyDescent="0.35">
      <c r="A30" s="9">
        <v>2</v>
      </c>
      <c r="B30" s="2" t="s">
        <v>16</v>
      </c>
      <c r="C30" s="22">
        <v>3</v>
      </c>
      <c r="D30" s="18">
        <f t="shared" ref="D30:D46" si="2">C30*$F$27</f>
        <v>30000</v>
      </c>
      <c r="E30" s="22">
        <v>3</v>
      </c>
      <c r="F30" s="18">
        <f t="shared" ref="F30:F47" si="3">E30*$F$27</f>
        <v>30000</v>
      </c>
      <c r="G30" s="2"/>
    </row>
    <row r="31" spans="1:8" x14ac:dyDescent="0.35">
      <c r="A31" s="9">
        <v>3</v>
      </c>
      <c r="B31" s="2" t="s">
        <v>59</v>
      </c>
      <c r="C31" s="22">
        <v>1.4999999999999999E-2</v>
      </c>
      <c r="D31" s="18">
        <f t="shared" si="2"/>
        <v>150</v>
      </c>
      <c r="E31" s="22">
        <v>1.4999999999999999E-2</v>
      </c>
      <c r="F31" s="18">
        <f t="shared" si="3"/>
        <v>150</v>
      </c>
      <c r="G31" s="2"/>
    </row>
    <row r="32" spans="1:8" x14ac:dyDescent="0.35">
      <c r="A32" s="9">
        <v>4</v>
      </c>
      <c r="B32" s="2" t="s">
        <v>44</v>
      </c>
      <c r="C32" s="22">
        <v>3.0000000000000001E-3</v>
      </c>
      <c r="D32" s="18">
        <f t="shared" si="2"/>
        <v>30</v>
      </c>
      <c r="E32" s="22">
        <v>3.0000000000000001E-3</v>
      </c>
      <c r="F32" s="18">
        <f t="shared" si="3"/>
        <v>30</v>
      </c>
      <c r="G32" s="2"/>
    </row>
    <row r="33" spans="1:8" x14ac:dyDescent="0.35">
      <c r="A33" s="9">
        <v>5</v>
      </c>
      <c r="B33" s="2" t="s">
        <v>60</v>
      </c>
      <c r="C33" s="22">
        <v>3.0000000000000001E-3</v>
      </c>
      <c r="D33" s="18">
        <f t="shared" si="2"/>
        <v>30</v>
      </c>
      <c r="E33" s="22">
        <v>3.0000000000000001E-3</v>
      </c>
      <c r="F33" s="18">
        <f t="shared" si="3"/>
        <v>30</v>
      </c>
      <c r="G33" s="2"/>
    </row>
    <row r="34" spans="1:8" x14ac:dyDescent="0.35">
      <c r="A34" s="9">
        <v>6</v>
      </c>
      <c r="B34" s="2" t="s">
        <v>61</v>
      </c>
      <c r="C34" s="22">
        <v>0.3</v>
      </c>
      <c r="D34" s="18">
        <f t="shared" si="2"/>
        <v>3000</v>
      </c>
      <c r="E34" s="22">
        <v>0.3</v>
      </c>
      <c r="F34" s="18">
        <f t="shared" si="3"/>
        <v>3000</v>
      </c>
      <c r="G34" s="2"/>
    </row>
    <row r="35" spans="1:8" x14ac:dyDescent="0.35">
      <c r="A35" s="9">
        <v>7</v>
      </c>
      <c r="B35" s="2" t="s">
        <v>62</v>
      </c>
      <c r="C35" s="22">
        <v>3.0000000000000001E-3</v>
      </c>
      <c r="D35" s="18">
        <f t="shared" si="2"/>
        <v>30</v>
      </c>
      <c r="E35" s="22">
        <v>3.0000000000000001E-3</v>
      </c>
      <c r="F35" s="18">
        <f t="shared" si="3"/>
        <v>30</v>
      </c>
      <c r="G35" s="2"/>
    </row>
    <row r="36" spans="1:8" x14ac:dyDescent="0.35">
      <c r="A36" s="9">
        <v>8</v>
      </c>
      <c r="B36" s="2" t="s">
        <v>63</v>
      </c>
      <c r="C36" s="22">
        <v>0.3</v>
      </c>
      <c r="D36" s="18">
        <f t="shared" si="2"/>
        <v>3000</v>
      </c>
      <c r="E36" s="22">
        <v>0.3</v>
      </c>
      <c r="F36" s="18">
        <f t="shared" si="3"/>
        <v>3000</v>
      </c>
      <c r="G36" s="2"/>
    </row>
    <row r="37" spans="1:8" x14ac:dyDescent="0.35">
      <c r="A37" s="9">
        <v>9</v>
      </c>
      <c r="B37" s="2" t="s">
        <v>64</v>
      </c>
      <c r="C37" s="22">
        <v>3</v>
      </c>
      <c r="D37" s="18">
        <f t="shared" si="2"/>
        <v>30000</v>
      </c>
      <c r="E37" s="22">
        <v>3</v>
      </c>
      <c r="F37" s="18">
        <f t="shared" si="3"/>
        <v>30000</v>
      </c>
      <c r="G37" s="2"/>
    </row>
    <row r="38" spans="1:8" x14ac:dyDescent="0.35">
      <c r="A38" s="9">
        <v>10</v>
      </c>
      <c r="B38" s="2" t="s">
        <v>65</v>
      </c>
      <c r="C38" s="22">
        <v>3.0000000000000001E-3</v>
      </c>
      <c r="D38" s="18">
        <f t="shared" si="2"/>
        <v>30</v>
      </c>
      <c r="E38" s="22">
        <v>3.0000000000000001E-3</v>
      </c>
      <c r="F38" s="18">
        <f t="shared" si="3"/>
        <v>30</v>
      </c>
      <c r="G38" s="2"/>
    </row>
    <row r="39" spans="1:8" x14ac:dyDescent="0.35">
      <c r="A39" s="9">
        <v>11</v>
      </c>
      <c r="B39" s="2" t="s">
        <v>66</v>
      </c>
      <c r="C39" s="22">
        <v>3.0000000000000001E-3</v>
      </c>
      <c r="D39" s="18">
        <f t="shared" si="2"/>
        <v>30</v>
      </c>
      <c r="E39" s="22">
        <v>3.0000000000000001E-3</v>
      </c>
      <c r="F39" s="18">
        <f t="shared" si="3"/>
        <v>30</v>
      </c>
      <c r="G39" s="2"/>
    </row>
    <row r="40" spans="1:8" x14ac:dyDescent="0.35">
      <c r="A40" s="9">
        <v>12</v>
      </c>
      <c r="B40" s="2" t="s">
        <v>22</v>
      </c>
      <c r="C40" s="22">
        <v>3.0000000000000001E-3</v>
      </c>
      <c r="D40" s="18">
        <f t="shared" si="2"/>
        <v>30</v>
      </c>
      <c r="E40" s="22">
        <v>3.0000000000000001E-3</v>
      </c>
      <c r="F40" s="18">
        <f t="shared" si="3"/>
        <v>30</v>
      </c>
      <c r="G40" s="2"/>
    </row>
    <row r="41" spans="1:8" x14ac:dyDescent="0.35">
      <c r="A41" s="9">
        <v>13</v>
      </c>
      <c r="B41" s="2" t="s">
        <v>21</v>
      </c>
      <c r="C41" s="22">
        <v>0.15</v>
      </c>
      <c r="D41" s="18">
        <f t="shared" si="2"/>
        <v>1500</v>
      </c>
      <c r="E41" s="22">
        <v>0.15</v>
      </c>
      <c r="F41" s="18">
        <f t="shared" si="3"/>
        <v>1500</v>
      </c>
      <c r="G41" s="2"/>
    </row>
    <row r="42" spans="1:8" x14ac:dyDescent="0.35">
      <c r="A42" s="9">
        <v>14</v>
      </c>
      <c r="B42" s="2" t="s">
        <v>67</v>
      </c>
      <c r="C42" s="22">
        <v>0.06</v>
      </c>
      <c r="D42" s="18">
        <f t="shared" si="2"/>
        <v>600</v>
      </c>
      <c r="E42" s="22">
        <v>0.06</v>
      </c>
      <c r="F42" s="18">
        <f t="shared" si="3"/>
        <v>600</v>
      </c>
      <c r="G42" s="2"/>
    </row>
    <row r="43" spans="1:8" x14ac:dyDescent="0.35">
      <c r="A43" s="9">
        <v>15</v>
      </c>
      <c r="B43" s="2" t="s">
        <v>68</v>
      </c>
      <c r="C43" s="22">
        <v>0.06</v>
      </c>
      <c r="D43" s="18">
        <f t="shared" si="2"/>
        <v>600</v>
      </c>
      <c r="E43" s="22">
        <v>0.06</v>
      </c>
      <c r="F43" s="18">
        <f t="shared" si="3"/>
        <v>600</v>
      </c>
      <c r="G43" s="2"/>
    </row>
    <row r="44" spans="1:8" x14ac:dyDescent="0.35">
      <c r="A44" s="9">
        <v>16</v>
      </c>
      <c r="B44" s="2" t="s">
        <v>50</v>
      </c>
      <c r="C44" s="22">
        <v>0.06</v>
      </c>
      <c r="D44" s="18">
        <f t="shared" si="2"/>
        <v>600</v>
      </c>
      <c r="E44" s="22">
        <v>0.06</v>
      </c>
      <c r="F44" s="18">
        <f t="shared" si="3"/>
        <v>600</v>
      </c>
      <c r="G44" s="2"/>
    </row>
    <row r="45" spans="1:8" x14ac:dyDescent="0.35">
      <c r="A45" s="9">
        <v>17</v>
      </c>
      <c r="B45" s="2" t="s">
        <v>51</v>
      </c>
      <c r="C45" s="22">
        <v>0.3</v>
      </c>
      <c r="D45" s="18">
        <f t="shared" si="2"/>
        <v>3000</v>
      </c>
      <c r="E45" s="22">
        <v>0.3</v>
      </c>
      <c r="F45" s="18">
        <f t="shared" si="3"/>
        <v>3000</v>
      </c>
      <c r="G45" s="2"/>
    </row>
    <row r="46" spans="1:8" x14ac:dyDescent="0.35">
      <c r="A46" s="9">
        <v>18</v>
      </c>
      <c r="B46" s="2" t="s">
        <v>69</v>
      </c>
      <c r="C46" s="22">
        <v>1.4999999999999999E-2</v>
      </c>
      <c r="D46" s="18">
        <f t="shared" si="2"/>
        <v>150</v>
      </c>
      <c r="E46" s="22">
        <v>1.4999999999999999E-2</v>
      </c>
      <c r="F46" s="18">
        <f t="shared" si="3"/>
        <v>150</v>
      </c>
      <c r="G46" s="2"/>
    </row>
    <row r="47" spans="1:8" x14ac:dyDescent="0.35">
      <c r="A47" s="9">
        <v>19</v>
      </c>
      <c r="B47" s="2" t="s">
        <v>23</v>
      </c>
      <c r="C47" s="22">
        <v>22.571999999999999</v>
      </c>
      <c r="D47" s="18">
        <f>C47*$F$27</f>
        <v>225720</v>
      </c>
      <c r="E47" s="22">
        <v>22.8</v>
      </c>
      <c r="F47" s="18">
        <f t="shared" si="3"/>
        <v>228000</v>
      </c>
      <c r="G47" s="2" t="s">
        <v>396</v>
      </c>
    </row>
    <row r="48" spans="1:8" x14ac:dyDescent="0.35">
      <c r="A48" s="9"/>
      <c r="B48" s="5" t="s">
        <v>30</v>
      </c>
      <c r="C48" s="42">
        <f>SUM(C29:C47)</f>
        <v>30</v>
      </c>
      <c r="D48" s="19">
        <f>SUM(D29:D47)</f>
        <v>300000</v>
      </c>
      <c r="E48" s="19">
        <f>SUM(E29:E47)</f>
        <v>30.228000000000002</v>
      </c>
      <c r="F48" s="19">
        <f>SUM(F29:F47)</f>
        <v>302280</v>
      </c>
      <c r="G48" s="4">
        <v>100</v>
      </c>
      <c r="H48" s="1" t="s">
        <v>221</v>
      </c>
    </row>
    <row r="49" spans="1:8" x14ac:dyDescent="0.35">
      <c r="A49" s="9"/>
      <c r="B49" s="2" t="s">
        <v>194</v>
      </c>
      <c r="C49" s="22">
        <v>1</v>
      </c>
      <c r="D49" s="18"/>
      <c r="E49" s="18"/>
      <c r="F49" s="18"/>
      <c r="G49" s="4">
        <v>60</v>
      </c>
      <c r="H49" s="1" t="s">
        <v>222</v>
      </c>
    </row>
    <row r="50" spans="1:8" x14ac:dyDescent="0.35">
      <c r="A50" s="9"/>
      <c r="B50" s="2" t="s">
        <v>195</v>
      </c>
      <c r="C50" s="22">
        <v>1</v>
      </c>
      <c r="D50" s="18"/>
      <c r="E50" s="18"/>
      <c r="F50" s="18"/>
      <c r="G50" s="12">
        <f>F48-D48-G48-G49</f>
        <v>2120</v>
      </c>
      <c r="H50" s="1" t="s">
        <v>223</v>
      </c>
    </row>
    <row r="51" spans="1:8" x14ac:dyDescent="0.35">
      <c r="A51" s="9"/>
      <c r="B51" s="2" t="s">
        <v>70</v>
      </c>
      <c r="C51" s="22">
        <v>1</v>
      </c>
      <c r="D51" s="18"/>
      <c r="E51" s="18"/>
      <c r="F51" s="18"/>
      <c r="G51" s="2"/>
    </row>
    <row r="52" spans="1:8" x14ac:dyDescent="0.35">
      <c r="C52" s="49">
        <f>30-C48</f>
        <v>0</v>
      </c>
      <c r="F52" s="20">
        <f>30*10002</f>
        <v>300060</v>
      </c>
    </row>
    <row r="53" spans="1:8" x14ac:dyDescent="0.35">
      <c r="G53" s="48"/>
    </row>
    <row r="54" spans="1:8" s="7" customFormat="1" ht="27" customHeight="1" x14ac:dyDescent="0.35">
      <c r="A54" s="6" t="s">
        <v>0</v>
      </c>
      <c r="B54" s="6" t="s">
        <v>71</v>
      </c>
      <c r="C54" s="21" t="s">
        <v>72</v>
      </c>
      <c r="D54" s="17">
        <v>2000</v>
      </c>
      <c r="E54" s="17">
        <f>D54*50</f>
        <v>100000</v>
      </c>
      <c r="F54" s="17">
        <v>2009</v>
      </c>
      <c r="G54" s="32">
        <f>F54*50</f>
        <v>100450</v>
      </c>
    </row>
    <row r="55" spans="1:8" s="7" customFormat="1" ht="53" customHeight="1" x14ac:dyDescent="0.35">
      <c r="A55" s="8" t="s">
        <v>2</v>
      </c>
      <c r="B55" s="8" t="s">
        <v>6</v>
      </c>
      <c r="C55" s="25" t="s">
        <v>73</v>
      </c>
      <c r="D55" s="27" t="s">
        <v>228</v>
      </c>
      <c r="E55" s="27" t="s">
        <v>233</v>
      </c>
      <c r="F55" s="27" t="s">
        <v>229</v>
      </c>
      <c r="G55" s="26" t="s">
        <v>4</v>
      </c>
    </row>
    <row r="56" spans="1:8" x14ac:dyDescent="0.35">
      <c r="A56" s="9">
        <v>1</v>
      </c>
      <c r="B56" s="2" t="s">
        <v>74</v>
      </c>
      <c r="C56" s="22">
        <v>5</v>
      </c>
      <c r="D56" s="18">
        <f>C56*$D$54</f>
        <v>10000</v>
      </c>
      <c r="E56" s="22">
        <v>5</v>
      </c>
      <c r="F56" s="18">
        <f>E56*$F$54</f>
        <v>10045</v>
      </c>
      <c r="G56" s="2"/>
    </row>
    <row r="57" spans="1:8" x14ac:dyDescent="0.35">
      <c r="A57" s="9">
        <v>2</v>
      </c>
      <c r="B57" s="2" t="s">
        <v>14</v>
      </c>
      <c r="C57" s="22">
        <v>2.5</v>
      </c>
      <c r="D57" s="18">
        <f t="shared" ref="D57:D77" si="4">C57*$D$54</f>
        <v>5000</v>
      </c>
      <c r="E57" s="22">
        <v>2.5</v>
      </c>
      <c r="F57" s="18">
        <f t="shared" ref="F57:F80" si="5">E57*$F$54</f>
        <v>5022.5</v>
      </c>
      <c r="G57" s="2"/>
    </row>
    <row r="58" spans="1:8" x14ac:dyDescent="0.35">
      <c r="A58" s="9">
        <v>3</v>
      </c>
      <c r="B58" s="2" t="s">
        <v>75</v>
      </c>
      <c r="C58" s="22">
        <v>0.5</v>
      </c>
      <c r="D58" s="18">
        <f t="shared" si="4"/>
        <v>1000</v>
      </c>
      <c r="E58" s="22">
        <v>0.5</v>
      </c>
      <c r="F58" s="18">
        <f t="shared" si="5"/>
        <v>1004.5</v>
      </c>
      <c r="G58" s="2"/>
    </row>
    <row r="59" spans="1:8" x14ac:dyDescent="0.35">
      <c r="A59" s="9">
        <v>4</v>
      </c>
      <c r="B59" s="2" t="s">
        <v>76</v>
      </c>
      <c r="C59" s="22">
        <v>1</v>
      </c>
      <c r="D59" s="18">
        <f t="shared" si="4"/>
        <v>2000</v>
      </c>
      <c r="E59" s="22">
        <v>1</v>
      </c>
      <c r="F59" s="18">
        <f t="shared" si="5"/>
        <v>2009</v>
      </c>
      <c r="G59" s="2"/>
    </row>
    <row r="60" spans="1:8" x14ac:dyDescent="0.35">
      <c r="A60" s="9">
        <v>5</v>
      </c>
      <c r="B60" s="2" t="s">
        <v>77</v>
      </c>
      <c r="C60" s="22">
        <v>0.2</v>
      </c>
      <c r="D60" s="18">
        <f t="shared" si="4"/>
        <v>400</v>
      </c>
      <c r="E60" s="22">
        <v>0.2</v>
      </c>
      <c r="F60" s="18">
        <f t="shared" si="5"/>
        <v>401.8</v>
      </c>
      <c r="G60" s="2"/>
    </row>
    <row r="61" spans="1:8" x14ac:dyDescent="0.35">
      <c r="A61" s="9">
        <v>6</v>
      </c>
      <c r="B61" s="2" t="s">
        <v>78</v>
      </c>
      <c r="C61" s="22">
        <v>0.5</v>
      </c>
      <c r="D61" s="18">
        <f t="shared" si="4"/>
        <v>1000</v>
      </c>
      <c r="E61" s="22">
        <v>0.5</v>
      </c>
      <c r="F61" s="18">
        <f t="shared" si="5"/>
        <v>1004.5</v>
      </c>
      <c r="G61" s="2"/>
    </row>
    <row r="62" spans="1:8" x14ac:dyDescent="0.35">
      <c r="A62" s="9">
        <v>7</v>
      </c>
      <c r="B62" s="2" t="s">
        <v>79</v>
      </c>
      <c r="C62" s="22">
        <v>1</v>
      </c>
      <c r="D62" s="18">
        <f t="shared" si="4"/>
        <v>2000</v>
      </c>
      <c r="E62" s="22">
        <v>1</v>
      </c>
      <c r="F62" s="18">
        <f t="shared" si="5"/>
        <v>2009</v>
      </c>
      <c r="G62" s="2"/>
    </row>
    <row r="63" spans="1:8" x14ac:dyDescent="0.35">
      <c r="A63" s="9">
        <v>8</v>
      </c>
      <c r="B63" s="2" t="s">
        <v>80</v>
      </c>
      <c r="C63" s="22">
        <v>1</v>
      </c>
      <c r="D63" s="18">
        <f t="shared" si="4"/>
        <v>2000</v>
      </c>
      <c r="E63" s="22">
        <v>1</v>
      </c>
      <c r="F63" s="18">
        <f t="shared" si="5"/>
        <v>2009</v>
      </c>
      <c r="G63" s="2"/>
    </row>
    <row r="64" spans="1:8" ht="28.5" x14ac:dyDescent="0.35">
      <c r="A64" s="9">
        <v>9</v>
      </c>
      <c r="B64" s="13" t="s">
        <v>81</v>
      </c>
      <c r="C64" s="22">
        <v>1</v>
      </c>
      <c r="D64" s="18">
        <f t="shared" si="4"/>
        <v>2000</v>
      </c>
      <c r="E64" s="22">
        <v>1</v>
      </c>
      <c r="F64" s="18">
        <f t="shared" si="5"/>
        <v>2009</v>
      </c>
      <c r="G64" s="2"/>
    </row>
    <row r="65" spans="1:8" x14ac:dyDescent="0.35">
      <c r="A65" s="9">
        <v>10</v>
      </c>
      <c r="B65" s="2" t="s">
        <v>82</v>
      </c>
      <c r="C65" s="22">
        <v>5.0000000000000001E-3</v>
      </c>
      <c r="D65" s="18">
        <f t="shared" si="4"/>
        <v>10</v>
      </c>
      <c r="E65" s="22">
        <v>5.0000000000000001E-3</v>
      </c>
      <c r="F65" s="22">
        <f t="shared" si="5"/>
        <v>10.045</v>
      </c>
      <c r="G65" s="2"/>
    </row>
    <row r="66" spans="1:8" x14ac:dyDescent="0.35">
      <c r="A66" s="9">
        <v>11</v>
      </c>
      <c r="B66" s="2" t="s">
        <v>44</v>
      </c>
      <c r="C66" s="22">
        <v>0.01</v>
      </c>
      <c r="D66" s="18">
        <f t="shared" si="4"/>
        <v>20</v>
      </c>
      <c r="E66" s="22">
        <v>0.01</v>
      </c>
      <c r="F66" s="22">
        <f t="shared" si="5"/>
        <v>20.09</v>
      </c>
      <c r="G66" s="2"/>
    </row>
    <row r="67" spans="1:8" x14ac:dyDescent="0.35">
      <c r="A67" s="9">
        <v>12</v>
      </c>
      <c r="B67" s="2" t="s">
        <v>46</v>
      </c>
      <c r="C67" s="22">
        <v>5.0000000000000001E-3</v>
      </c>
      <c r="D67" s="18">
        <f t="shared" si="4"/>
        <v>10</v>
      </c>
      <c r="E67" s="22">
        <v>5.0000000000000001E-3</v>
      </c>
      <c r="F67" s="22">
        <f t="shared" si="5"/>
        <v>10.045</v>
      </c>
      <c r="G67" s="2"/>
    </row>
    <row r="68" spans="1:8" x14ac:dyDescent="0.35">
      <c r="A68" s="9">
        <v>13</v>
      </c>
      <c r="B68" s="2" t="s">
        <v>9</v>
      </c>
      <c r="C68" s="22">
        <v>15</v>
      </c>
      <c r="D68" s="18">
        <f t="shared" si="4"/>
        <v>30000</v>
      </c>
      <c r="E68" s="22">
        <v>15</v>
      </c>
      <c r="F68" s="18">
        <f t="shared" si="5"/>
        <v>30135</v>
      </c>
      <c r="G68" s="2"/>
    </row>
    <row r="69" spans="1:8" x14ac:dyDescent="0.35">
      <c r="A69" s="9">
        <v>14</v>
      </c>
      <c r="B69" s="2" t="s">
        <v>83</v>
      </c>
      <c r="C69" s="22">
        <v>1</v>
      </c>
      <c r="D69" s="18">
        <f t="shared" si="4"/>
        <v>2000</v>
      </c>
      <c r="E69" s="22">
        <v>1</v>
      </c>
      <c r="F69" s="18">
        <f t="shared" si="5"/>
        <v>2009</v>
      </c>
      <c r="G69" s="2"/>
    </row>
    <row r="70" spans="1:8" x14ac:dyDescent="0.35">
      <c r="A70" s="9">
        <v>15</v>
      </c>
      <c r="B70" s="2" t="s">
        <v>84</v>
      </c>
      <c r="C70" s="22">
        <v>0.25</v>
      </c>
      <c r="D70" s="18">
        <f t="shared" si="4"/>
        <v>500</v>
      </c>
      <c r="E70" s="22">
        <v>0.25</v>
      </c>
      <c r="F70" s="18">
        <f t="shared" si="5"/>
        <v>502.25</v>
      </c>
      <c r="G70" s="2"/>
    </row>
    <row r="71" spans="1:8" x14ac:dyDescent="0.35">
      <c r="A71" s="9">
        <v>16</v>
      </c>
      <c r="B71" s="2" t="s">
        <v>85</v>
      </c>
      <c r="C71" s="22">
        <v>0.5</v>
      </c>
      <c r="D71" s="18">
        <f t="shared" si="4"/>
        <v>1000</v>
      </c>
      <c r="E71" s="22">
        <v>0.5</v>
      </c>
      <c r="F71" s="18">
        <f t="shared" si="5"/>
        <v>1004.5</v>
      </c>
      <c r="G71" s="2"/>
    </row>
    <row r="72" spans="1:8" x14ac:dyDescent="0.35">
      <c r="A72" s="9">
        <v>17</v>
      </c>
      <c r="B72" s="2" t="s">
        <v>86</v>
      </c>
      <c r="C72" s="22">
        <v>0.05</v>
      </c>
      <c r="D72" s="18">
        <f t="shared" si="4"/>
        <v>100</v>
      </c>
      <c r="E72" s="22">
        <v>0.05</v>
      </c>
      <c r="F72" s="22">
        <f t="shared" si="5"/>
        <v>100.45</v>
      </c>
      <c r="G72" s="2"/>
    </row>
    <row r="73" spans="1:8" x14ac:dyDescent="0.35">
      <c r="A73" s="9">
        <v>18</v>
      </c>
      <c r="B73" s="2" t="s">
        <v>21</v>
      </c>
      <c r="C73" s="22">
        <v>0.25</v>
      </c>
      <c r="D73" s="18">
        <f t="shared" si="4"/>
        <v>500</v>
      </c>
      <c r="E73" s="22">
        <v>0.25</v>
      </c>
      <c r="F73" s="22">
        <f t="shared" si="5"/>
        <v>502.25</v>
      </c>
      <c r="G73" s="2"/>
    </row>
    <row r="74" spans="1:8" x14ac:dyDescent="0.35">
      <c r="A74" s="9">
        <v>19</v>
      </c>
      <c r="B74" s="2" t="s">
        <v>22</v>
      </c>
      <c r="C74" s="22">
        <v>0.01</v>
      </c>
      <c r="D74" s="18">
        <f t="shared" si="4"/>
        <v>20</v>
      </c>
      <c r="E74" s="22">
        <v>0.01</v>
      </c>
      <c r="F74" s="22">
        <f t="shared" si="5"/>
        <v>20.09</v>
      </c>
      <c r="G74" s="2"/>
    </row>
    <row r="75" spans="1:8" x14ac:dyDescent="0.35">
      <c r="A75" s="9">
        <v>20</v>
      </c>
      <c r="B75" s="2" t="s">
        <v>87</v>
      </c>
      <c r="C75" s="22">
        <v>0.5</v>
      </c>
      <c r="D75" s="18">
        <f t="shared" si="4"/>
        <v>1000</v>
      </c>
      <c r="E75" s="22">
        <v>0.5</v>
      </c>
      <c r="F75" s="18">
        <f t="shared" si="5"/>
        <v>1004.5</v>
      </c>
      <c r="G75" s="2"/>
    </row>
    <row r="76" spans="1:8" x14ac:dyDescent="0.35">
      <c r="A76" s="9">
        <v>21</v>
      </c>
      <c r="B76" s="2" t="s">
        <v>88</v>
      </c>
      <c r="C76" s="22">
        <v>5.0000000000000001E-3</v>
      </c>
      <c r="D76" s="18">
        <f t="shared" si="4"/>
        <v>10</v>
      </c>
      <c r="E76" s="22">
        <v>5.0000000000000001E-3</v>
      </c>
      <c r="F76" s="22">
        <f t="shared" si="5"/>
        <v>10.045</v>
      </c>
      <c r="G76" s="2"/>
    </row>
    <row r="77" spans="1:8" x14ac:dyDescent="0.35">
      <c r="A77" s="9">
        <v>22</v>
      </c>
      <c r="B77" s="2" t="s">
        <v>23</v>
      </c>
      <c r="C77" s="22">
        <v>19.715</v>
      </c>
      <c r="D77" s="18">
        <f t="shared" si="4"/>
        <v>39430</v>
      </c>
      <c r="E77" s="22">
        <v>19.899999999999999</v>
      </c>
      <c r="F77" s="18">
        <f>E77*$F$54</f>
        <v>39979.1</v>
      </c>
      <c r="G77" s="2" t="s">
        <v>383</v>
      </c>
    </row>
    <row r="78" spans="1:8" x14ac:dyDescent="0.35">
      <c r="A78" s="9"/>
      <c r="B78" s="5" t="s">
        <v>30</v>
      </c>
      <c r="C78" s="23">
        <f>SUM(C56:C77)</f>
        <v>50</v>
      </c>
      <c r="D78" s="23">
        <f t="shared" ref="D78" si="6">SUM(D56:D77)</f>
        <v>100000</v>
      </c>
      <c r="E78" s="23">
        <f>SUM(E56:E77)</f>
        <v>50.185000000000002</v>
      </c>
      <c r="F78" s="23">
        <f>E78*$F$54</f>
        <v>100821.66500000001</v>
      </c>
      <c r="G78" s="4">
        <v>100</v>
      </c>
      <c r="H78" s="1" t="s">
        <v>221</v>
      </c>
    </row>
    <row r="79" spans="1:8" x14ac:dyDescent="0.35">
      <c r="A79" s="9"/>
      <c r="B79" s="2" t="s">
        <v>193</v>
      </c>
      <c r="C79" s="22">
        <v>1</v>
      </c>
      <c r="D79" s="18"/>
      <c r="E79" s="18"/>
      <c r="F79" s="18">
        <f t="shared" si="5"/>
        <v>0</v>
      </c>
      <c r="G79" s="4">
        <v>100</v>
      </c>
      <c r="H79" s="1" t="s">
        <v>222</v>
      </c>
    </row>
    <row r="80" spans="1:8" x14ac:dyDescent="0.35">
      <c r="A80" s="9"/>
      <c r="B80" s="2" t="s">
        <v>196</v>
      </c>
      <c r="C80" s="22">
        <v>1</v>
      </c>
      <c r="D80" s="18"/>
      <c r="E80" s="18"/>
      <c r="F80" s="18">
        <f t="shared" si="5"/>
        <v>0</v>
      </c>
      <c r="G80" s="11">
        <f>F78-G78-G79-G54</f>
        <v>171.66500000000815</v>
      </c>
      <c r="H80" s="1" t="s">
        <v>223</v>
      </c>
    </row>
    <row r="82" spans="6:6" x14ac:dyDescent="0.35">
      <c r="F82" s="20">
        <f>F78-100</f>
        <v>100721.66500000001</v>
      </c>
    </row>
  </sheetData>
  <mergeCells count="2">
    <mergeCell ref="A1:F1"/>
    <mergeCell ref="A2:F2"/>
  </mergeCells>
  <pageMargins left="0.31496062992125984" right="0.11811023622047245" top="0.15748031496062992" bottom="0.15748031496062992" header="0.31496062992125984" footer="0.31496062992125984"/>
  <pageSetup paperSize="9" scale="55"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5"/>
  <sheetViews>
    <sheetView showGridLines="0" topLeftCell="A31" zoomScale="70" zoomScaleNormal="70" workbookViewId="0">
      <selection activeCell="G48" sqref="G48"/>
    </sheetView>
  </sheetViews>
  <sheetFormatPr defaultColWidth="8.81640625" defaultRowHeight="14.5" x14ac:dyDescent="0.35"/>
  <cols>
    <col min="1" max="1" width="18.1796875" style="7" customWidth="1"/>
    <col min="2" max="2" width="73.1796875" style="1" customWidth="1"/>
    <col min="3" max="3" width="21.54296875" style="1" customWidth="1"/>
    <col min="4" max="4" width="18.54296875" style="20" customWidth="1"/>
    <col min="5" max="5" width="18.54296875" style="1" customWidth="1"/>
    <col min="6" max="6" width="20.08984375" style="1" customWidth="1"/>
    <col min="7" max="7" width="13.54296875" style="1" customWidth="1"/>
    <col min="8" max="16384" width="8.81640625" style="1"/>
  </cols>
  <sheetData>
    <row r="1" spans="1:7" ht="25.5" customHeight="1" x14ac:dyDescent="0.4">
      <c r="A1" s="57" t="s">
        <v>31</v>
      </c>
      <c r="B1" s="57"/>
      <c r="C1" s="57"/>
      <c r="D1" s="57"/>
      <c r="E1" s="57"/>
      <c r="F1" s="57"/>
    </row>
    <row r="2" spans="1:7" x14ac:dyDescent="0.35">
      <c r="A2" s="58"/>
      <c r="B2" s="58"/>
      <c r="C2" s="58"/>
      <c r="D2" s="58"/>
      <c r="E2" s="58"/>
      <c r="F2" s="58"/>
    </row>
    <row r="3" spans="1:7" s="7" customFormat="1" ht="27" customHeight="1" x14ac:dyDescent="0.35">
      <c r="A3" s="6" t="s">
        <v>0</v>
      </c>
      <c r="B3" s="6" t="s">
        <v>89</v>
      </c>
      <c r="C3" s="6" t="s">
        <v>90</v>
      </c>
      <c r="D3" s="17">
        <v>1000</v>
      </c>
      <c r="E3" s="6">
        <f>D3*30</f>
        <v>30000</v>
      </c>
      <c r="F3" s="6">
        <v>1045</v>
      </c>
      <c r="G3" s="7">
        <f>F3*30</f>
        <v>31350</v>
      </c>
    </row>
    <row r="4" spans="1:7" s="7" customFormat="1" ht="53" customHeight="1" x14ac:dyDescent="0.35">
      <c r="A4" s="8" t="s">
        <v>2</v>
      </c>
      <c r="B4" s="8" t="s">
        <v>6</v>
      </c>
      <c r="C4" s="25" t="s">
        <v>58</v>
      </c>
      <c r="D4" s="27" t="s">
        <v>231</v>
      </c>
      <c r="E4" s="27" t="s">
        <v>226</v>
      </c>
      <c r="F4" s="27" t="s">
        <v>232</v>
      </c>
      <c r="G4" s="26" t="s">
        <v>4</v>
      </c>
    </row>
    <row r="5" spans="1:7" x14ac:dyDescent="0.35">
      <c r="A5" s="9">
        <v>1</v>
      </c>
      <c r="B5" s="2" t="s">
        <v>91</v>
      </c>
      <c r="C5" s="10">
        <v>1.5</v>
      </c>
      <c r="D5" s="18">
        <f>C5*$D$3</f>
        <v>1500</v>
      </c>
      <c r="E5" s="10">
        <v>1.5</v>
      </c>
      <c r="F5" s="31">
        <f>E5*1045</f>
        <v>1567.5</v>
      </c>
      <c r="G5" s="30"/>
    </row>
    <row r="6" spans="1:7" x14ac:dyDescent="0.35">
      <c r="A6" s="9">
        <v>2</v>
      </c>
      <c r="B6" s="2" t="s">
        <v>74</v>
      </c>
      <c r="C6" s="10">
        <v>6</v>
      </c>
      <c r="D6" s="18">
        <f t="shared" ref="D6:D20" si="0">C6*$D$3</f>
        <v>6000</v>
      </c>
      <c r="E6" s="10">
        <v>6</v>
      </c>
      <c r="F6" s="31">
        <f t="shared" ref="F6:F24" si="1">E6*1045</f>
        <v>6270</v>
      </c>
      <c r="G6" s="30"/>
    </row>
    <row r="7" spans="1:7" x14ac:dyDescent="0.35">
      <c r="A7" s="9">
        <v>3</v>
      </c>
      <c r="B7" s="2" t="s">
        <v>92</v>
      </c>
      <c r="C7" s="10">
        <v>3</v>
      </c>
      <c r="D7" s="18">
        <f t="shared" si="0"/>
        <v>3000</v>
      </c>
      <c r="E7" s="10">
        <v>3</v>
      </c>
      <c r="F7" s="31">
        <f t="shared" si="1"/>
        <v>3135</v>
      </c>
      <c r="G7" s="30"/>
    </row>
    <row r="8" spans="1:7" x14ac:dyDescent="0.35">
      <c r="A8" s="9">
        <v>4</v>
      </c>
      <c r="B8" s="2" t="s">
        <v>93</v>
      </c>
      <c r="C8" s="10">
        <v>1.5</v>
      </c>
      <c r="D8" s="18">
        <f t="shared" si="0"/>
        <v>1500</v>
      </c>
      <c r="E8" s="10">
        <v>1.5</v>
      </c>
      <c r="F8" s="31">
        <f t="shared" si="1"/>
        <v>1567.5</v>
      </c>
      <c r="G8" s="30"/>
    </row>
    <row r="9" spans="1:7" x14ac:dyDescent="0.35">
      <c r="A9" s="9">
        <v>5</v>
      </c>
      <c r="B9" s="2" t="s">
        <v>16</v>
      </c>
      <c r="C9" s="10">
        <v>3</v>
      </c>
      <c r="D9" s="18">
        <f t="shared" si="0"/>
        <v>3000</v>
      </c>
      <c r="E9" s="10">
        <v>3</v>
      </c>
      <c r="F9" s="31">
        <f t="shared" si="1"/>
        <v>3135</v>
      </c>
      <c r="G9" s="30"/>
    </row>
    <row r="10" spans="1:7" x14ac:dyDescent="0.35">
      <c r="A10" s="9">
        <v>6</v>
      </c>
      <c r="B10" s="2" t="s">
        <v>94</v>
      </c>
      <c r="C10" s="10">
        <v>0.6</v>
      </c>
      <c r="D10" s="18">
        <f t="shared" si="0"/>
        <v>600</v>
      </c>
      <c r="E10" s="10">
        <v>0.6</v>
      </c>
      <c r="F10" s="31">
        <f t="shared" si="1"/>
        <v>627</v>
      </c>
      <c r="G10" s="30"/>
    </row>
    <row r="11" spans="1:7" x14ac:dyDescent="0.35">
      <c r="A11" s="9">
        <v>7</v>
      </c>
      <c r="B11" s="2" t="s">
        <v>95</v>
      </c>
      <c r="C11" s="10">
        <v>1.5</v>
      </c>
      <c r="D11" s="18">
        <f t="shared" si="0"/>
        <v>1500</v>
      </c>
      <c r="E11" s="10">
        <v>1.5</v>
      </c>
      <c r="F11" s="31">
        <f t="shared" si="1"/>
        <v>1567.5</v>
      </c>
      <c r="G11" s="30"/>
    </row>
    <row r="12" spans="1:7" x14ac:dyDescent="0.35">
      <c r="A12" s="9">
        <v>8</v>
      </c>
      <c r="B12" s="2" t="s">
        <v>96</v>
      </c>
      <c r="C12" s="10">
        <v>0.6</v>
      </c>
      <c r="D12" s="18">
        <f t="shared" si="0"/>
        <v>600</v>
      </c>
      <c r="E12" s="10">
        <v>0.6</v>
      </c>
      <c r="F12" s="31">
        <f t="shared" si="1"/>
        <v>627</v>
      </c>
      <c r="G12" s="30"/>
    </row>
    <row r="13" spans="1:7" x14ac:dyDescent="0.35">
      <c r="A13" s="9">
        <v>9</v>
      </c>
      <c r="B13" s="2" t="s">
        <v>97</v>
      </c>
      <c r="C13" s="10">
        <v>0.06</v>
      </c>
      <c r="D13" s="18">
        <f t="shared" si="0"/>
        <v>60</v>
      </c>
      <c r="E13" s="10">
        <v>0.06</v>
      </c>
      <c r="F13" s="31">
        <f t="shared" si="1"/>
        <v>62.699999999999996</v>
      </c>
      <c r="G13" s="30"/>
    </row>
    <row r="14" spans="1:7" x14ac:dyDescent="0.35">
      <c r="A14" s="9">
        <v>10</v>
      </c>
      <c r="B14" s="2" t="s">
        <v>64</v>
      </c>
      <c r="C14" s="10">
        <v>6</v>
      </c>
      <c r="D14" s="18">
        <f t="shared" si="0"/>
        <v>6000</v>
      </c>
      <c r="E14" s="10">
        <v>6</v>
      </c>
      <c r="F14" s="31">
        <f t="shared" si="1"/>
        <v>6270</v>
      </c>
      <c r="G14" s="30"/>
    </row>
    <row r="15" spans="1:7" x14ac:dyDescent="0.35">
      <c r="A15" s="9">
        <v>11</v>
      </c>
      <c r="B15" s="2" t="s">
        <v>98</v>
      </c>
      <c r="C15" s="10">
        <v>3.0000000000000001E-3</v>
      </c>
      <c r="D15" s="18">
        <f t="shared" si="0"/>
        <v>3</v>
      </c>
      <c r="E15" s="10">
        <v>3.0000000000000001E-3</v>
      </c>
      <c r="F15" s="31">
        <f t="shared" si="1"/>
        <v>3.1350000000000002</v>
      </c>
      <c r="G15" s="30"/>
    </row>
    <row r="16" spans="1:7" x14ac:dyDescent="0.35">
      <c r="A16" s="9">
        <v>12</v>
      </c>
      <c r="B16" s="14" t="s">
        <v>99</v>
      </c>
      <c r="C16" s="10">
        <v>0.15</v>
      </c>
      <c r="D16" s="18">
        <f t="shared" si="0"/>
        <v>150</v>
      </c>
      <c r="E16" s="10">
        <v>0.15</v>
      </c>
      <c r="F16" s="31">
        <f t="shared" si="1"/>
        <v>156.75</v>
      </c>
      <c r="G16" s="30"/>
    </row>
    <row r="17" spans="1:10" x14ac:dyDescent="0.35">
      <c r="A17" s="9">
        <v>13</v>
      </c>
      <c r="B17" s="2" t="s">
        <v>100</v>
      </c>
      <c r="C17" s="10">
        <v>0.6</v>
      </c>
      <c r="D17" s="18">
        <f t="shared" si="0"/>
        <v>600</v>
      </c>
      <c r="E17" s="10">
        <v>0.6</v>
      </c>
      <c r="F17" s="31">
        <f t="shared" si="1"/>
        <v>627</v>
      </c>
      <c r="G17" s="30"/>
    </row>
    <row r="18" spans="1:10" x14ac:dyDescent="0.35">
      <c r="A18" s="9">
        <v>14</v>
      </c>
      <c r="B18" s="2" t="s">
        <v>22</v>
      </c>
      <c r="C18" s="10">
        <v>0.6</v>
      </c>
      <c r="D18" s="18">
        <f t="shared" si="0"/>
        <v>600</v>
      </c>
      <c r="E18" s="10">
        <v>0.6</v>
      </c>
      <c r="F18" s="31">
        <f t="shared" si="1"/>
        <v>627</v>
      </c>
      <c r="G18" s="30"/>
    </row>
    <row r="19" spans="1:10" x14ac:dyDescent="0.35">
      <c r="A19" s="9">
        <v>15</v>
      </c>
      <c r="B19" s="2" t="s">
        <v>54</v>
      </c>
      <c r="C19" s="10">
        <v>0.15</v>
      </c>
      <c r="D19" s="18">
        <f t="shared" si="0"/>
        <v>150</v>
      </c>
      <c r="E19" s="10">
        <v>0.15</v>
      </c>
      <c r="F19" s="31">
        <f t="shared" si="1"/>
        <v>156.75</v>
      </c>
      <c r="G19" s="30"/>
    </row>
    <row r="20" spans="1:10" x14ac:dyDescent="0.35">
      <c r="A20" s="9">
        <v>17</v>
      </c>
      <c r="B20" s="2" t="s">
        <v>23</v>
      </c>
      <c r="C20" s="10">
        <v>5</v>
      </c>
      <c r="D20" s="18">
        <f t="shared" si="0"/>
        <v>5000</v>
      </c>
      <c r="E20" s="10">
        <v>5</v>
      </c>
      <c r="F20" s="31">
        <f t="shared" si="1"/>
        <v>5225</v>
      </c>
      <c r="G20" s="30" t="s">
        <v>394</v>
      </c>
    </row>
    <row r="21" spans="1:10" x14ac:dyDescent="0.35">
      <c r="A21" s="9"/>
      <c r="B21" s="5" t="s">
        <v>30</v>
      </c>
      <c r="C21" s="12">
        <f>SUM(C5:C20)</f>
        <v>30.263000000000002</v>
      </c>
      <c r="D21" s="12">
        <f>SUM(D5:D20)</f>
        <v>30263</v>
      </c>
      <c r="E21" s="12">
        <f>SUM(E5:E20)</f>
        <v>30.263000000000002</v>
      </c>
      <c r="F21" s="12">
        <f>E21*1045</f>
        <v>31624.835000000003</v>
      </c>
      <c r="G21" s="12">
        <v>100</v>
      </c>
      <c r="H21" s="1" t="s">
        <v>221</v>
      </c>
      <c r="J21" s="48"/>
    </row>
    <row r="22" spans="1:10" x14ac:dyDescent="0.35">
      <c r="A22" s="9"/>
      <c r="B22" s="2" t="s">
        <v>202</v>
      </c>
      <c r="C22" s="2">
        <v>1</v>
      </c>
      <c r="D22" s="18"/>
      <c r="E22" s="2"/>
      <c r="F22" s="31">
        <f t="shared" si="1"/>
        <v>0</v>
      </c>
      <c r="G22" s="12">
        <v>60</v>
      </c>
      <c r="H22" s="1" t="s">
        <v>222</v>
      </c>
    </row>
    <row r="23" spans="1:10" x14ac:dyDescent="0.35">
      <c r="A23" s="9"/>
      <c r="B23" s="2" t="s">
        <v>204</v>
      </c>
      <c r="C23" s="2">
        <v>1</v>
      </c>
      <c r="D23" s="18"/>
      <c r="E23" s="2"/>
      <c r="F23" s="31">
        <f t="shared" si="1"/>
        <v>0</v>
      </c>
      <c r="G23" s="12">
        <f>F21-G21-G22-G3</f>
        <v>114.83500000000276</v>
      </c>
      <c r="H23" s="1" t="s">
        <v>223</v>
      </c>
    </row>
    <row r="24" spans="1:10" x14ac:dyDescent="0.35">
      <c r="A24" s="9"/>
      <c r="B24" s="2" t="s">
        <v>211</v>
      </c>
      <c r="C24" s="2">
        <v>1</v>
      </c>
      <c r="D24" s="18"/>
      <c r="E24" s="2"/>
      <c r="F24" s="31">
        <f t="shared" si="1"/>
        <v>0</v>
      </c>
      <c r="G24" s="30"/>
    </row>
    <row r="30" spans="1:10" s="7" customFormat="1" ht="27" customHeight="1" x14ac:dyDescent="0.35">
      <c r="A30" s="6" t="s">
        <v>0</v>
      </c>
      <c r="B30" s="6" t="s">
        <v>101</v>
      </c>
      <c r="C30" s="6" t="s">
        <v>102</v>
      </c>
      <c r="D30" s="17">
        <v>2000</v>
      </c>
      <c r="E30" s="6"/>
      <c r="F30" s="32">
        <f>D30*150</f>
        <v>300000</v>
      </c>
      <c r="G30" s="28">
        <f>D30*150+300+150</f>
        <v>300450</v>
      </c>
    </row>
    <row r="31" spans="1:10" s="7" customFormat="1" ht="53" customHeight="1" x14ac:dyDescent="0.35">
      <c r="A31" s="8" t="s">
        <v>2</v>
      </c>
      <c r="B31" s="8" t="s">
        <v>6</v>
      </c>
      <c r="C31" s="27" t="s">
        <v>103</v>
      </c>
      <c r="D31" s="27" t="s">
        <v>235</v>
      </c>
      <c r="E31" s="27" t="s">
        <v>234</v>
      </c>
      <c r="F31" s="27" t="s">
        <v>232</v>
      </c>
      <c r="G31" s="26" t="s">
        <v>4</v>
      </c>
    </row>
    <row r="32" spans="1:10" x14ac:dyDescent="0.35">
      <c r="A32" s="9">
        <v>1</v>
      </c>
      <c r="B32" s="2" t="s">
        <v>16</v>
      </c>
      <c r="C32" s="10">
        <v>15</v>
      </c>
      <c r="D32" s="18">
        <f t="shared" ref="D32:D47" si="2">C32*$D$30</f>
        <v>30000</v>
      </c>
      <c r="E32" s="10">
        <v>15</v>
      </c>
      <c r="F32" s="18">
        <f t="shared" ref="F32:F47" si="3">E32*$D$30</f>
        <v>30000</v>
      </c>
      <c r="G32" s="30"/>
    </row>
    <row r="33" spans="1:8" x14ac:dyDescent="0.35">
      <c r="A33" s="9">
        <v>2</v>
      </c>
      <c r="B33" s="2" t="s">
        <v>57</v>
      </c>
      <c r="C33" s="10">
        <v>0.15</v>
      </c>
      <c r="D33" s="18">
        <f t="shared" si="2"/>
        <v>300</v>
      </c>
      <c r="E33" s="10">
        <v>0.15</v>
      </c>
      <c r="F33" s="18">
        <f t="shared" si="3"/>
        <v>300</v>
      </c>
      <c r="G33" s="30"/>
    </row>
    <row r="34" spans="1:8" x14ac:dyDescent="0.35">
      <c r="A34" s="9">
        <v>3</v>
      </c>
      <c r="B34" s="2" t="s">
        <v>104</v>
      </c>
      <c r="C34" s="10">
        <v>0.3</v>
      </c>
      <c r="D34" s="18">
        <f t="shared" si="2"/>
        <v>600</v>
      </c>
      <c r="E34" s="10">
        <v>0.3</v>
      </c>
      <c r="F34" s="18">
        <f t="shared" si="3"/>
        <v>600</v>
      </c>
      <c r="G34" s="30"/>
    </row>
    <row r="35" spans="1:8" x14ac:dyDescent="0.35">
      <c r="A35" s="9">
        <v>4</v>
      </c>
      <c r="B35" s="2" t="s">
        <v>84</v>
      </c>
      <c r="C35" s="10">
        <v>0.15</v>
      </c>
      <c r="D35" s="18">
        <f t="shared" si="2"/>
        <v>300</v>
      </c>
      <c r="E35" s="10">
        <v>0.15</v>
      </c>
      <c r="F35" s="18">
        <f t="shared" si="3"/>
        <v>300</v>
      </c>
      <c r="G35" s="30"/>
    </row>
    <row r="36" spans="1:8" x14ac:dyDescent="0.35">
      <c r="A36" s="9">
        <v>5</v>
      </c>
      <c r="B36" s="2" t="s">
        <v>66</v>
      </c>
      <c r="C36" s="10">
        <v>4.4999999999999998E-2</v>
      </c>
      <c r="D36" s="18">
        <f t="shared" si="2"/>
        <v>90</v>
      </c>
      <c r="E36" s="10">
        <v>4.4999999999999998E-2</v>
      </c>
      <c r="F36" s="18">
        <f t="shared" si="3"/>
        <v>90</v>
      </c>
      <c r="G36" s="30"/>
    </row>
    <row r="37" spans="1:8" x14ac:dyDescent="0.35">
      <c r="A37" s="9">
        <v>6</v>
      </c>
      <c r="B37" s="2" t="s">
        <v>105</v>
      </c>
      <c r="C37" s="10">
        <v>0.3</v>
      </c>
      <c r="D37" s="18">
        <f t="shared" si="2"/>
        <v>600</v>
      </c>
      <c r="E37" s="10">
        <v>0.3</v>
      </c>
      <c r="F37" s="18">
        <f t="shared" si="3"/>
        <v>600</v>
      </c>
      <c r="G37" s="30"/>
    </row>
    <row r="38" spans="1:8" x14ac:dyDescent="0.35">
      <c r="A38" s="9">
        <v>7</v>
      </c>
      <c r="B38" s="2" t="s">
        <v>48</v>
      </c>
      <c r="C38" s="10">
        <v>3.0000000000000002E-2</v>
      </c>
      <c r="D38" s="18">
        <f t="shared" si="2"/>
        <v>60.000000000000007</v>
      </c>
      <c r="E38" s="10">
        <v>3.0000000000000002E-2</v>
      </c>
      <c r="F38" s="18">
        <f t="shared" si="3"/>
        <v>60.000000000000007</v>
      </c>
      <c r="G38" s="30"/>
    </row>
    <row r="39" spans="1:8" x14ac:dyDescent="0.35">
      <c r="A39" s="9">
        <v>8</v>
      </c>
      <c r="B39" s="2" t="s">
        <v>106</v>
      </c>
      <c r="C39" s="10">
        <v>7.5</v>
      </c>
      <c r="D39" s="18">
        <f t="shared" si="2"/>
        <v>15000</v>
      </c>
      <c r="E39" s="10">
        <v>7.5</v>
      </c>
      <c r="F39" s="18">
        <f t="shared" si="3"/>
        <v>15000</v>
      </c>
      <c r="G39" s="30"/>
    </row>
    <row r="40" spans="1:8" x14ac:dyDescent="0.35">
      <c r="A40" s="9">
        <v>9</v>
      </c>
      <c r="B40" s="2" t="s">
        <v>107</v>
      </c>
      <c r="C40" s="10">
        <v>9</v>
      </c>
      <c r="D40" s="18">
        <f t="shared" si="2"/>
        <v>18000</v>
      </c>
      <c r="E40" s="10">
        <v>9</v>
      </c>
      <c r="F40" s="18">
        <f t="shared" si="3"/>
        <v>18000</v>
      </c>
      <c r="G40" s="30"/>
    </row>
    <row r="41" spans="1:8" x14ac:dyDescent="0.35">
      <c r="A41" s="9">
        <v>10</v>
      </c>
      <c r="B41" s="2" t="s">
        <v>108</v>
      </c>
      <c r="C41" s="10">
        <v>7.4999999999999997E-2</v>
      </c>
      <c r="D41" s="18">
        <f t="shared" si="2"/>
        <v>150</v>
      </c>
      <c r="E41" s="10">
        <v>7.4999999999999997E-2</v>
      </c>
      <c r="F41" s="18">
        <f t="shared" si="3"/>
        <v>150</v>
      </c>
      <c r="G41" s="30"/>
    </row>
    <row r="42" spans="1:8" x14ac:dyDescent="0.35">
      <c r="A42" s="9">
        <v>11</v>
      </c>
      <c r="B42" s="2" t="s">
        <v>65</v>
      </c>
      <c r="C42" s="10">
        <v>3.0000000000000002E-2</v>
      </c>
      <c r="D42" s="18">
        <f t="shared" si="2"/>
        <v>60.000000000000007</v>
      </c>
      <c r="E42" s="10">
        <v>3.0000000000000002E-2</v>
      </c>
      <c r="F42" s="18">
        <f t="shared" si="3"/>
        <v>60.000000000000007</v>
      </c>
      <c r="G42" s="30"/>
    </row>
    <row r="43" spans="1:8" x14ac:dyDescent="0.35">
      <c r="A43" s="9">
        <v>12</v>
      </c>
      <c r="B43" s="14" t="s">
        <v>21</v>
      </c>
      <c r="C43" s="10">
        <v>0.75</v>
      </c>
      <c r="D43" s="18">
        <f t="shared" si="2"/>
        <v>1500</v>
      </c>
      <c r="E43" s="10">
        <v>0.75</v>
      </c>
      <c r="F43" s="18">
        <f t="shared" si="3"/>
        <v>1500</v>
      </c>
      <c r="G43" s="30"/>
    </row>
    <row r="44" spans="1:8" x14ac:dyDescent="0.35">
      <c r="A44" s="9">
        <v>13</v>
      </c>
      <c r="B44" s="2" t="s">
        <v>109</v>
      </c>
      <c r="C44" s="10">
        <v>0.09</v>
      </c>
      <c r="D44" s="18">
        <f t="shared" si="2"/>
        <v>180</v>
      </c>
      <c r="E44" s="10">
        <v>0.09</v>
      </c>
      <c r="F44" s="18">
        <f t="shared" si="3"/>
        <v>180</v>
      </c>
      <c r="G44" s="30"/>
    </row>
    <row r="45" spans="1:8" x14ac:dyDescent="0.35">
      <c r="A45" s="9">
        <v>14</v>
      </c>
      <c r="B45" s="2" t="s">
        <v>22</v>
      </c>
      <c r="C45" s="10">
        <v>0.15</v>
      </c>
      <c r="D45" s="18">
        <f t="shared" si="2"/>
        <v>300</v>
      </c>
      <c r="E45" s="10">
        <v>0.15</v>
      </c>
      <c r="F45" s="18">
        <f t="shared" si="3"/>
        <v>300</v>
      </c>
      <c r="G45" s="30"/>
    </row>
    <row r="46" spans="1:8" x14ac:dyDescent="0.35">
      <c r="A46" s="9">
        <v>15</v>
      </c>
      <c r="B46" s="2" t="s">
        <v>54</v>
      </c>
      <c r="C46" s="10">
        <v>0.45</v>
      </c>
      <c r="D46" s="18">
        <f t="shared" si="2"/>
        <v>900</v>
      </c>
      <c r="E46" s="10">
        <v>0.45</v>
      </c>
      <c r="F46" s="18">
        <f t="shared" si="3"/>
        <v>900</v>
      </c>
      <c r="G46" s="30"/>
    </row>
    <row r="47" spans="1:8" ht="15" customHeight="1" x14ac:dyDescent="0.35">
      <c r="A47" s="9">
        <v>20</v>
      </c>
      <c r="B47" s="2" t="s">
        <v>23</v>
      </c>
      <c r="C47" s="47">
        <v>115.98</v>
      </c>
      <c r="D47" s="18">
        <f t="shared" si="2"/>
        <v>231960</v>
      </c>
      <c r="E47" s="10">
        <v>117</v>
      </c>
      <c r="F47" s="18">
        <f t="shared" si="3"/>
        <v>234000</v>
      </c>
      <c r="G47" s="30" t="s">
        <v>395</v>
      </c>
    </row>
    <row r="48" spans="1:8" x14ac:dyDescent="0.35">
      <c r="A48" s="9"/>
      <c r="B48" s="5" t="s">
        <v>30</v>
      </c>
      <c r="C48" s="12">
        <f>SUM(C32:C47)</f>
        <v>150</v>
      </c>
      <c r="D48" s="12">
        <f>SUM(D32:D47)</f>
        <v>300000</v>
      </c>
      <c r="E48" s="12">
        <f>SUM(E32:E47)</f>
        <v>151.02000000000001</v>
      </c>
      <c r="F48" s="12">
        <f>SUM(F32:F47)</f>
        <v>302040</v>
      </c>
      <c r="G48" s="12">
        <v>100</v>
      </c>
      <c r="H48" s="1" t="s">
        <v>221</v>
      </c>
    </row>
    <row r="49" spans="1:8" x14ac:dyDescent="0.35">
      <c r="A49" s="9"/>
      <c r="B49" s="2" t="s">
        <v>201</v>
      </c>
      <c r="C49" s="2">
        <v>1</v>
      </c>
      <c r="D49" s="18"/>
      <c r="E49" s="2"/>
      <c r="F49" s="2">
        <f>E49*$D$30</f>
        <v>0</v>
      </c>
      <c r="G49" s="12">
        <v>300</v>
      </c>
      <c r="H49" s="1" t="s">
        <v>222</v>
      </c>
    </row>
    <row r="50" spans="1:8" x14ac:dyDescent="0.35">
      <c r="A50" s="9"/>
      <c r="B50" s="2" t="s">
        <v>205</v>
      </c>
      <c r="C50" s="2">
        <v>1</v>
      </c>
      <c r="D50" s="18"/>
      <c r="E50" s="2"/>
      <c r="F50" s="2">
        <f>E50*$D$30</f>
        <v>0</v>
      </c>
      <c r="G50" s="12">
        <f>F48-G48-G49-D48</f>
        <v>1640</v>
      </c>
      <c r="H50" s="1" t="s">
        <v>223</v>
      </c>
    </row>
    <row r="51" spans="1:8" x14ac:dyDescent="0.35">
      <c r="A51" s="9"/>
      <c r="B51" s="2" t="s">
        <v>212</v>
      </c>
      <c r="C51" s="2">
        <v>1</v>
      </c>
      <c r="D51" s="18"/>
      <c r="E51" s="2"/>
      <c r="F51" s="2">
        <f>E51*$D$30</f>
        <v>0</v>
      </c>
      <c r="G51" s="30"/>
    </row>
    <row r="52" spans="1:8" x14ac:dyDescent="0.35">
      <c r="C52" s="46">
        <f>150-C48</f>
        <v>0</v>
      </c>
      <c r="F52" s="1">
        <f>302000-100</f>
        <v>301900</v>
      </c>
    </row>
    <row r="54" spans="1:8" s="7" customFormat="1" ht="27" customHeight="1" x14ac:dyDescent="0.35">
      <c r="A54" s="6" t="s">
        <v>0</v>
      </c>
      <c r="B54" s="6" t="s">
        <v>110</v>
      </c>
      <c r="C54" s="6" t="s">
        <v>111</v>
      </c>
      <c r="D54" s="17">
        <v>1000</v>
      </c>
      <c r="E54" s="6">
        <v>1026</v>
      </c>
      <c r="F54" s="32">
        <f>E54*50+100+100</f>
        <v>51500</v>
      </c>
    </row>
    <row r="55" spans="1:8" s="7" customFormat="1" ht="53" customHeight="1" x14ac:dyDescent="0.35">
      <c r="A55" s="8" t="s">
        <v>2</v>
      </c>
      <c r="B55" s="8" t="s">
        <v>6</v>
      </c>
      <c r="C55" s="27" t="s">
        <v>73</v>
      </c>
      <c r="D55" s="27" t="s">
        <v>235</v>
      </c>
      <c r="E55" s="27" t="s">
        <v>233</v>
      </c>
      <c r="F55" s="27" t="s">
        <v>232</v>
      </c>
      <c r="G55" s="26" t="s">
        <v>4</v>
      </c>
    </row>
    <row r="56" spans="1:8" x14ac:dyDescent="0.35">
      <c r="A56" s="9">
        <v>1</v>
      </c>
      <c r="B56" s="2" t="s">
        <v>74</v>
      </c>
      <c r="C56" s="10">
        <v>10</v>
      </c>
      <c r="D56" s="18">
        <f>C56*$D$54</f>
        <v>10000</v>
      </c>
      <c r="E56" s="10">
        <v>10</v>
      </c>
      <c r="F56" s="31">
        <f>E56*$E$54</f>
        <v>10260</v>
      </c>
      <c r="G56" s="30"/>
    </row>
    <row r="57" spans="1:8" x14ac:dyDescent="0.35">
      <c r="A57" s="9">
        <v>2</v>
      </c>
      <c r="B57" s="2" t="s">
        <v>91</v>
      </c>
      <c r="C57" s="10">
        <v>1</v>
      </c>
      <c r="D57" s="18">
        <f t="shared" ref="D57:D73" si="4">C57*$D$54</f>
        <v>1000</v>
      </c>
      <c r="E57" s="10">
        <v>1</v>
      </c>
      <c r="F57" s="31">
        <f t="shared" ref="F57:F73" si="5">E57*$E$54</f>
        <v>1026</v>
      </c>
      <c r="G57" s="30"/>
    </row>
    <row r="58" spans="1:8" x14ac:dyDescent="0.35">
      <c r="A58" s="9">
        <v>3</v>
      </c>
      <c r="B58" s="2" t="s">
        <v>16</v>
      </c>
      <c r="C58" s="10">
        <v>5</v>
      </c>
      <c r="D58" s="18">
        <f t="shared" si="4"/>
        <v>5000</v>
      </c>
      <c r="E58" s="10">
        <v>5</v>
      </c>
      <c r="F58" s="31">
        <f t="shared" si="5"/>
        <v>5130</v>
      </c>
      <c r="G58" s="30"/>
    </row>
    <row r="59" spans="1:8" x14ac:dyDescent="0.35">
      <c r="A59" s="9">
        <v>4</v>
      </c>
      <c r="B59" s="2" t="s">
        <v>112</v>
      </c>
      <c r="C59" s="10">
        <v>0.05</v>
      </c>
      <c r="D59" s="18">
        <f t="shared" si="4"/>
        <v>50</v>
      </c>
      <c r="E59" s="10">
        <v>0.05</v>
      </c>
      <c r="F59" s="31">
        <f t="shared" si="5"/>
        <v>51.300000000000004</v>
      </c>
      <c r="G59" s="30"/>
    </row>
    <row r="60" spans="1:8" x14ac:dyDescent="0.35">
      <c r="A60" s="9">
        <v>5</v>
      </c>
      <c r="B60" s="2" t="s">
        <v>84</v>
      </c>
      <c r="C60" s="10">
        <v>0.05</v>
      </c>
      <c r="D60" s="18">
        <f t="shared" si="4"/>
        <v>50</v>
      </c>
      <c r="E60" s="10">
        <v>0.05</v>
      </c>
      <c r="F60" s="31">
        <f t="shared" si="5"/>
        <v>51.300000000000004</v>
      </c>
      <c r="G60" s="30"/>
    </row>
    <row r="61" spans="1:8" x14ac:dyDescent="0.35">
      <c r="A61" s="9">
        <v>6</v>
      </c>
      <c r="B61" s="2" t="s">
        <v>15</v>
      </c>
      <c r="C61" s="10">
        <v>0.05</v>
      </c>
      <c r="D61" s="18">
        <f t="shared" si="4"/>
        <v>50</v>
      </c>
      <c r="E61" s="10">
        <v>0.05</v>
      </c>
      <c r="F61" s="31">
        <f t="shared" si="5"/>
        <v>51.300000000000004</v>
      </c>
      <c r="G61" s="30"/>
    </row>
    <row r="62" spans="1:8" x14ac:dyDescent="0.35">
      <c r="A62" s="9">
        <v>7</v>
      </c>
      <c r="B62" s="2" t="s">
        <v>95</v>
      </c>
      <c r="C62" s="10">
        <v>1</v>
      </c>
      <c r="D62" s="18">
        <f t="shared" si="4"/>
        <v>1000</v>
      </c>
      <c r="E62" s="10">
        <v>1</v>
      </c>
      <c r="F62" s="31">
        <f t="shared" si="5"/>
        <v>1026</v>
      </c>
      <c r="G62" s="30"/>
    </row>
    <row r="63" spans="1:8" x14ac:dyDescent="0.35">
      <c r="A63" s="9">
        <v>8</v>
      </c>
      <c r="B63" s="2" t="s">
        <v>113</v>
      </c>
      <c r="C63" s="10">
        <v>1.5</v>
      </c>
      <c r="D63" s="18">
        <f t="shared" si="4"/>
        <v>1500</v>
      </c>
      <c r="E63" s="10">
        <v>1.5</v>
      </c>
      <c r="F63" s="31">
        <f t="shared" si="5"/>
        <v>1539</v>
      </c>
      <c r="G63" s="30"/>
    </row>
    <row r="64" spans="1:8" x14ac:dyDescent="0.35">
      <c r="A64" s="9">
        <v>9</v>
      </c>
      <c r="B64" s="2" t="s">
        <v>94</v>
      </c>
      <c r="C64" s="10">
        <v>1.5</v>
      </c>
      <c r="D64" s="18">
        <f t="shared" si="4"/>
        <v>1500</v>
      </c>
      <c r="E64" s="10">
        <v>1.5</v>
      </c>
      <c r="F64" s="31">
        <f t="shared" si="5"/>
        <v>1539</v>
      </c>
      <c r="G64" s="30"/>
    </row>
    <row r="65" spans="1:10" x14ac:dyDescent="0.35">
      <c r="A65" s="9">
        <v>10</v>
      </c>
      <c r="B65" s="2" t="s">
        <v>64</v>
      </c>
      <c r="C65" s="10">
        <v>1.5</v>
      </c>
      <c r="D65" s="18">
        <f t="shared" si="4"/>
        <v>1500</v>
      </c>
      <c r="E65" s="10">
        <v>1.5</v>
      </c>
      <c r="F65" s="31">
        <f t="shared" si="5"/>
        <v>1539</v>
      </c>
      <c r="G65" s="30"/>
    </row>
    <row r="66" spans="1:10" x14ac:dyDescent="0.35">
      <c r="A66" s="9">
        <v>11</v>
      </c>
      <c r="B66" s="2" t="s">
        <v>114</v>
      </c>
      <c r="C66" s="10">
        <v>1</v>
      </c>
      <c r="D66" s="18">
        <f t="shared" si="4"/>
        <v>1000</v>
      </c>
      <c r="E66" s="10">
        <v>1</v>
      </c>
      <c r="F66" s="31">
        <f t="shared" si="5"/>
        <v>1026</v>
      </c>
      <c r="G66" s="30"/>
    </row>
    <row r="67" spans="1:10" x14ac:dyDescent="0.35">
      <c r="A67" s="9">
        <v>12</v>
      </c>
      <c r="B67" s="14" t="s">
        <v>96</v>
      </c>
      <c r="C67" s="10">
        <v>1</v>
      </c>
      <c r="D67" s="18">
        <f t="shared" si="4"/>
        <v>1000</v>
      </c>
      <c r="E67" s="10">
        <v>1</v>
      </c>
      <c r="F67" s="31">
        <f t="shared" si="5"/>
        <v>1026</v>
      </c>
      <c r="G67" s="30"/>
    </row>
    <row r="68" spans="1:10" x14ac:dyDescent="0.35">
      <c r="A68" s="9">
        <v>13</v>
      </c>
      <c r="B68" s="2" t="s">
        <v>115</v>
      </c>
      <c r="C68" s="10">
        <v>5.0000000000000001E-3</v>
      </c>
      <c r="D68" s="18">
        <f t="shared" si="4"/>
        <v>5</v>
      </c>
      <c r="E68" s="10">
        <v>5.0000000000000001E-3</v>
      </c>
      <c r="F68" s="31">
        <f t="shared" si="5"/>
        <v>5.13</v>
      </c>
      <c r="G68" s="30"/>
    </row>
    <row r="69" spans="1:10" x14ac:dyDescent="0.35">
      <c r="A69" s="9">
        <v>14</v>
      </c>
      <c r="B69" s="2" t="s">
        <v>21</v>
      </c>
      <c r="C69" s="10">
        <v>0.25</v>
      </c>
      <c r="D69" s="18">
        <f t="shared" si="4"/>
        <v>250</v>
      </c>
      <c r="E69" s="10">
        <v>0.25</v>
      </c>
      <c r="F69" s="31">
        <f t="shared" si="5"/>
        <v>256.5</v>
      </c>
      <c r="G69" s="30"/>
    </row>
    <row r="70" spans="1:10" x14ac:dyDescent="0.35">
      <c r="A70" s="9">
        <v>15</v>
      </c>
      <c r="B70" s="2" t="s">
        <v>116</v>
      </c>
      <c r="C70" s="10">
        <v>0.5</v>
      </c>
      <c r="D70" s="18">
        <f t="shared" si="4"/>
        <v>500</v>
      </c>
      <c r="E70" s="10">
        <v>0.5</v>
      </c>
      <c r="F70" s="31">
        <f t="shared" si="5"/>
        <v>513</v>
      </c>
      <c r="G70" s="30"/>
    </row>
    <row r="71" spans="1:10" x14ac:dyDescent="0.35">
      <c r="A71" s="9">
        <v>16</v>
      </c>
      <c r="B71" s="2" t="s">
        <v>54</v>
      </c>
      <c r="C71" s="10">
        <v>0.25</v>
      </c>
      <c r="D71" s="18">
        <f t="shared" si="4"/>
        <v>250</v>
      </c>
      <c r="E71" s="10">
        <v>0.25</v>
      </c>
      <c r="F71" s="31">
        <f t="shared" si="5"/>
        <v>256.5</v>
      </c>
      <c r="G71" s="30"/>
    </row>
    <row r="72" spans="1:10" x14ac:dyDescent="0.35">
      <c r="A72" s="9">
        <v>17</v>
      </c>
      <c r="B72" s="2" t="s">
        <v>51</v>
      </c>
      <c r="C72" s="10">
        <v>0.5</v>
      </c>
      <c r="D72" s="18">
        <f t="shared" si="4"/>
        <v>500</v>
      </c>
      <c r="E72" s="10">
        <v>0.5</v>
      </c>
      <c r="F72" s="31">
        <f t="shared" si="5"/>
        <v>513</v>
      </c>
      <c r="G72" s="30"/>
    </row>
    <row r="73" spans="1:10" x14ac:dyDescent="0.35">
      <c r="A73" s="9">
        <v>18</v>
      </c>
      <c r="B73" s="2" t="s">
        <v>23</v>
      </c>
      <c r="C73" s="10">
        <v>24.844999999999999</v>
      </c>
      <c r="D73" s="18">
        <f t="shared" si="4"/>
        <v>24845</v>
      </c>
      <c r="E73" s="10">
        <v>25.2</v>
      </c>
      <c r="F73" s="31">
        <f t="shared" si="5"/>
        <v>25855.200000000001</v>
      </c>
      <c r="G73" s="30"/>
    </row>
    <row r="74" spans="1:10" x14ac:dyDescent="0.35">
      <c r="A74" s="9"/>
      <c r="B74" s="5" t="s">
        <v>30</v>
      </c>
      <c r="C74" s="34">
        <f>SUM(C56:C73)</f>
        <v>50</v>
      </c>
      <c r="D74" s="12">
        <f>SUM(D56:D73)</f>
        <v>50000</v>
      </c>
      <c r="E74" s="12">
        <f>SUM(E56:E73)</f>
        <v>50.355000000000004</v>
      </c>
      <c r="F74" s="12">
        <f>SUM(F56:F73)</f>
        <v>51664.229999999996</v>
      </c>
      <c r="G74" s="12">
        <v>100</v>
      </c>
      <c r="H74" s="1" t="s">
        <v>221</v>
      </c>
      <c r="J74" s="1">
        <f>51600-100</f>
        <v>51500</v>
      </c>
    </row>
    <row r="75" spans="1:10" x14ac:dyDescent="0.35">
      <c r="A75" s="9"/>
      <c r="B75" s="2" t="s">
        <v>198</v>
      </c>
      <c r="C75" s="2">
        <v>1</v>
      </c>
      <c r="D75" s="18"/>
      <c r="E75" s="2"/>
      <c r="F75" s="2"/>
      <c r="G75" s="12">
        <v>100</v>
      </c>
      <c r="H75" s="1" t="s">
        <v>222</v>
      </c>
    </row>
    <row r="76" spans="1:10" x14ac:dyDescent="0.35">
      <c r="A76" s="9"/>
      <c r="B76" s="2" t="s">
        <v>207</v>
      </c>
      <c r="C76" s="2">
        <v>1</v>
      </c>
      <c r="D76" s="18"/>
      <c r="E76" s="2"/>
      <c r="F76" s="2"/>
      <c r="G76" s="12">
        <f>F74-G74-G75-(50*1026)</f>
        <v>164.22999999999593</v>
      </c>
      <c r="H76" s="1" t="s">
        <v>223</v>
      </c>
    </row>
    <row r="77" spans="1:10" x14ac:dyDescent="0.35">
      <c r="A77" s="9"/>
      <c r="B77" s="2" t="s">
        <v>210</v>
      </c>
      <c r="C77" s="2">
        <v>1</v>
      </c>
      <c r="D77" s="18"/>
      <c r="E77" s="2"/>
      <c r="F77" s="2"/>
      <c r="G77" s="30"/>
    </row>
    <row r="78" spans="1:10" x14ac:dyDescent="0.35">
      <c r="C78" s="35">
        <f>50-C74</f>
        <v>0</v>
      </c>
    </row>
    <row r="79" spans="1:10" s="7" customFormat="1" ht="27" customHeight="1" x14ac:dyDescent="0.35">
      <c r="A79" s="6" t="s">
        <v>0</v>
      </c>
      <c r="B79" s="6" t="s">
        <v>117</v>
      </c>
      <c r="C79" s="6" t="s">
        <v>185</v>
      </c>
      <c r="D79" s="17">
        <v>1000</v>
      </c>
      <c r="E79" s="6"/>
      <c r="F79" s="6">
        <v>1023</v>
      </c>
      <c r="G79" s="7">
        <f>1023*50+100+100</f>
        <v>51350</v>
      </c>
    </row>
    <row r="80" spans="1:10" s="7" customFormat="1" ht="58" customHeight="1" x14ac:dyDescent="0.35">
      <c r="A80" s="8" t="s">
        <v>2</v>
      </c>
      <c r="B80" s="8" t="s">
        <v>6</v>
      </c>
      <c r="C80" s="8" t="s">
        <v>73</v>
      </c>
      <c r="D80" s="27" t="s">
        <v>235</v>
      </c>
      <c r="E80" s="27" t="s">
        <v>233</v>
      </c>
      <c r="F80" s="27" t="s">
        <v>232</v>
      </c>
      <c r="G80" s="26" t="s">
        <v>4</v>
      </c>
    </row>
    <row r="81" spans="1:7" x14ac:dyDescent="0.35">
      <c r="A81" s="9">
        <v>1</v>
      </c>
      <c r="B81" s="2" t="s">
        <v>118</v>
      </c>
      <c r="C81" s="10">
        <v>0.25</v>
      </c>
      <c r="D81" s="18">
        <f t="shared" ref="D81:D99" si="6">C81*$D$79</f>
        <v>250</v>
      </c>
      <c r="E81" s="10">
        <v>0.25</v>
      </c>
      <c r="F81" s="31">
        <f>E81*$F$79</f>
        <v>255.75</v>
      </c>
      <c r="G81" s="30"/>
    </row>
    <row r="82" spans="1:7" x14ac:dyDescent="0.35">
      <c r="A82" s="9">
        <v>2</v>
      </c>
      <c r="B82" s="2" t="s">
        <v>119</v>
      </c>
      <c r="C82" s="10">
        <v>1.5</v>
      </c>
      <c r="D82" s="18">
        <f t="shared" si="6"/>
        <v>1500</v>
      </c>
      <c r="E82" s="10">
        <v>1.5</v>
      </c>
      <c r="F82" s="31">
        <f t="shared" ref="F82:F99" si="7">E82*$F$79</f>
        <v>1534.5</v>
      </c>
      <c r="G82" s="30"/>
    </row>
    <row r="83" spans="1:7" x14ac:dyDescent="0.35">
      <c r="A83" s="9">
        <v>3</v>
      </c>
      <c r="B83" s="2" t="s">
        <v>120</v>
      </c>
      <c r="C83" s="10">
        <v>2.5</v>
      </c>
      <c r="D83" s="18">
        <f t="shared" si="6"/>
        <v>2500</v>
      </c>
      <c r="E83" s="10">
        <v>2.5</v>
      </c>
      <c r="F83" s="31">
        <f t="shared" si="7"/>
        <v>2557.5</v>
      </c>
      <c r="G83" s="30"/>
    </row>
    <row r="84" spans="1:7" x14ac:dyDescent="0.35">
      <c r="A84" s="9">
        <v>4</v>
      </c>
      <c r="B84" s="2" t="s">
        <v>121</v>
      </c>
      <c r="C84" s="10">
        <v>0.25</v>
      </c>
      <c r="D84" s="18">
        <f t="shared" si="6"/>
        <v>250</v>
      </c>
      <c r="E84" s="10">
        <v>0.25</v>
      </c>
      <c r="F84" s="31">
        <f t="shared" si="7"/>
        <v>255.75</v>
      </c>
      <c r="G84" s="30"/>
    </row>
    <row r="85" spans="1:7" x14ac:dyDescent="0.35">
      <c r="A85" s="9">
        <v>5</v>
      </c>
      <c r="B85" s="2" t="s">
        <v>92</v>
      </c>
      <c r="C85" s="10">
        <v>5</v>
      </c>
      <c r="D85" s="18">
        <f t="shared" si="6"/>
        <v>5000</v>
      </c>
      <c r="E85" s="10">
        <v>5</v>
      </c>
      <c r="F85" s="31">
        <f t="shared" si="7"/>
        <v>5115</v>
      </c>
      <c r="G85" s="30"/>
    </row>
    <row r="86" spans="1:7" x14ac:dyDescent="0.35">
      <c r="A86" s="9">
        <v>6</v>
      </c>
      <c r="B86" s="2" t="s">
        <v>57</v>
      </c>
      <c r="C86" s="10">
        <v>1.5</v>
      </c>
      <c r="D86" s="18">
        <f t="shared" si="6"/>
        <v>1500</v>
      </c>
      <c r="E86" s="10">
        <v>1.5</v>
      </c>
      <c r="F86" s="31">
        <f t="shared" si="7"/>
        <v>1534.5</v>
      </c>
      <c r="G86" s="30"/>
    </row>
    <row r="87" spans="1:7" x14ac:dyDescent="0.35">
      <c r="A87" s="9">
        <v>7</v>
      </c>
      <c r="B87" s="2" t="s">
        <v>16</v>
      </c>
      <c r="C87" s="10">
        <v>5</v>
      </c>
      <c r="D87" s="18">
        <f t="shared" si="6"/>
        <v>5000</v>
      </c>
      <c r="E87" s="10">
        <v>5</v>
      </c>
      <c r="F87" s="31">
        <f t="shared" si="7"/>
        <v>5115</v>
      </c>
      <c r="G87" s="30"/>
    </row>
    <row r="88" spans="1:7" x14ac:dyDescent="0.35">
      <c r="A88" s="9">
        <v>8</v>
      </c>
      <c r="B88" s="2" t="s">
        <v>44</v>
      </c>
      <c r="C88" s="10">
        <v>0.05</v>
      </c>
      <c r="D88" s="18">
        <f t="shared" si="6"/>
        <v>50</v>
      </c>
      <c r="E88" s="10">
        <v>0.05</v>
      </c>
      <c r="F88" s="31">
        <f t="shared" si="7"/>
        <v>51.150000000000006</v>
      </c>
      <c r="G88" s="30"/>
    </row>
    <row r="89" spans="1:7" x14ac:dyDescent="0.35">
      <c r="A89" s="9">
        <v>9</v>
      </c>
      <c r="B89" s="2" t="s">
        <v>122</v>
      </c>
      <c r="C89" s="10">
        <v>2.5</v>
      </c>
      <c r="D89" s="18">
        <f t="shared" si="6"/>
        <v>2500</v>
      </c>
      <c r="E89" s="10">
        <v>2.5</v>
      </c>
      <c r="F89" s="31">
        <f t="shared" si="7"/>
        <v>2557.5</v>
      </c>
      <c r="G89" s="30"/>
    </row>
    <row r="90" spans="1:7" x14ac:dyDescent="0.35">
      <c r="A90" s="9">
        <v>10</v>
      </c>
      <c r="B90" s="2" t="s">
        <v>64</v>
      </c>
      <c r="C90" s="10">
        <v>5</v>
      </c>
      <c r="D90" s="18">
        <f t="shared" si="6"/>
        <v>5000</v>
      </c>
      <c r="E90" s="10">
        <v>5</v>
      </c>
      <c r="F90" s="31">
        <f t="shared" si="7"/>
        <v>5115</v>
      </c>
      <c r="G90" s="30"/>
    </row>
    <row r="91" spans="1:7" x14ac:dyDescent="0.35">
      <c r="A91" s="9">
        <v>11</v>
      </c>
      <c r="B91" s="2" t="s">
        <v>123</v>
      </c>
      <c r="C91" s="10">
        <v>5.0000000000000001E-3</v>
      </c>
      <c r="D91" s="18">
        <f t="shared" si="6"/>
        <v>5</v>
      </c>
      <c r="E91" s="10">
        <v>5.0000000000000001E-3</v>
      </c>
      <c r="F91" s="31">
        <f t="shared" si="7"/>
        <v>5.1150000000000002</v>
      </c>
      <c r="G91" s="30"/>
    </row>
    <row r="92" spans="1:7" x14ac:dyDescent="0.35">
      <c r="A92" s="9">
        <v>12</v>
      </c>
      <c r="B92" s="14" t="s">
        <v>124</v>
      </c>
      <c r="C92" s="10">
        <v>0.15</v>
      </c>
      <c r="D92" s="18">
        <f t="shared" si="6"/>
        <v>150</v>
      </c>
      <c r="E92" s="10">
        <v>0.15</v>
      </c>
      <c r="F92" s="31">
        <f t="shared" si="7"/>
        <v>153.44999999999999</v>
      </c>
      <c r="G92" s="30"/>
    </row>
    <row r="93" spans="1:7" x14ac:dyDescent="0.35">
      <c r="A93" s="9">
        <v>13</v>
      </c>
      <c r="B93" s="2" t="s">
        <v>125</v>
      </c>
      <c r="C93" s="10">
        <v>0.25</v>
      </c>
      <c r="D93" s="18">
        <f t="shared" si="6"/>
        <v>250</v>
      </c>
      <c r="E93" s="10">
        <v>0.25</v>
      </c>
      <c r="F93" s="31">
        <f t="shared" si="7"/>
        <v>255.75</v>
      </c>
      <c r="G93" s="30"/>
    </row>
    <row r="94" spans="1:7" x14ac:dyDescent="0.35">
      <c r="A94" s="9">
        <v>14</v>
      </c>
      <c r="B94" s="2" t="s">
        <v>68</v>
      </c>
      <c r="C94" s="10">
        <v>0.25</v>
      </c>
      <c r="D94" s="18">
        <f t="shared" si="6"/>
        <v>250</v>
      </c>
      <c r="E94" s="10">
        <v>0.25</v>
      </c>
      <c r="F94" s="31">
        <f t="shared" si="7"/>
        <v>255.75</v>
      </c>
      <c r="G94" s="30"/>
    </row>
    <row r="95" spans="1:7" x14ac:dyDescent="0.35">
      <c r="A95" s="9">
        <v>15</v>
      </c>
      <c r="B95" s="2" t="s">
        <v>21</v>
      </c>
      <c r="C95" s="10">
        <v>0.25</v>
      </c>
      <c r="D95" s="18">
        <f t="shared" si="6"/>
        <v>250</v>
      </c>
      <c r="E95" s="10">
        <v>0.25</v>
      </c>
      <c r="F95" s="31">
        <f t="shared" si="7"/>
        <v>255.75</v>
      </c>
      <c r="G95" s="30"/>
    </row>
    <row r="96" spans="1:7" x14ac:dyDescent="0.35">
      <c r="A96" s="9">
        <v>16</v>
      </c>
      <c r="B96" s="2" t="s">
        <v>22</v>
      </c>
      <c r="C96" s="10">
        <v>0.25</v>
      </c>
      <c r="D96" s="18">
        <f t="shared" si="6"/>
        <v>250</v>
      </c>
      <c r="E96" s="10">
        <v>0.25</v>
      </c>
      <c r="F96" s="31">
        <f t="shared" si="7"/>
        <v>255.75</v>
      </c>
      <c r="G96" s="30"/>
    </row>
    <row r="97" spans="1:8" x14ac:dyDescent="0.35">
      <c r="A97" s="9">
        <v>17</v>
      </c>
      <c r="B97" s="2" t="s">
        <v>126</v>
      </c>
      <c r="C97" s="10">
        <v>0.25</v>
      </c>
      <c r="D97" s="18">
        <f t="shared" si="6"/>
        <v>250</v>
      </c>
      <c r="E97" s="10">
        <v>0.25</v>
      </c>
      <c r="F97" s="31">
        <f t="shared" si="7"/>
        <v>255.75</v>
      </c>
      <c r="G97" s="30"/>
    </row>
    <row r="98" spans="1:8" x14ac:dyDescent="0.35">
      <c r="A98" s="9">
        <v>18</v>
      </c>
      <c r="B98" s="2" t="s">
        <v>51</v>
      </c>
      <c r="C98" s="10">
        <v>0.5</v>
      </c>
      <c r="D98" s="18">
        <f t="shared" si="6"/>
        <v>500</v>
      </c>
      <c r="E98" s="10">
        <v>0.5</v>
      </c>
      <c r="F98" s="31">
        <f t="shared" si="7"/>
        <v>511.5</v>
      </c>
      <c r="G98" s="30"/>
    </row>
    <row r="99" spans="1:8" x14ac:dyDescent="0.35">
      <c r="A99" s="9">
        <v>22</v>
      </c>
      <c r="B99" s="2" t="s">
        <v>23</v>
      </c>
      <c r="C99" s="10">
        <v>24.545000000000002</v>
      </c>
      <c r="D99" s="18">
        <f t="shared" si="6"/>
        <v>24545</v>
      </c>
      <c r="E99" s="10">
        <v>24.8</v>
      </c>
      <c r="F99" s="31">
        <f t="shared" si="7"/>
        <v>25370.400000000001</v>
      </c>
      <c r="G99" s="30" t="s">
        <v>393</v>
      </c>
    </row>
    <row r="100" spans="1:8" x14ac:dyDescent="0.35">
      <c r="A100" s="9"/>
      <c r="B100" s="5" t="s">
        <v>30</v>
      </c>
      <c r="C100" s="33">
        <f>SUM(C81:C99)</f>
        <v>50</v>
      </c>
      <c r="D100" s="12">
        <f>SUM(D81:D99)</f>
        <v>50000</v>
      </c>
      <c r="E100" s="12">
        <f>SUM(E81:E99)</f>
        <v>50.254999999999995</v>
      </c>
      <c r="F100" s="12">
        <f>SUM(F81:F99)</f>
        <v>51410.865000000005</v>
      </c>
      <c r="G100" s="12">
        <v>100</v>
      </c>
      <c r="H100" s="1" t="s">
        <v>221</v>
      </c>
    </row>
    <row r="101" spans="1:8" x14ac:dyDescent="0.35">
      <c r="A101" s="9"/>
      <c r="B101" s="2" t="s">
        <v>199</v>
      </c>
      <c r="C101" s="2">
        <v>1</v>
      </c>
      <c r="D101" s="18"/>
      <c r="E101" s="2"/>
      <c r="F101" s="2"/>
      <c r="G101" s="12">
        <v>100</v>
      </c>
      <c r="H101" s="1" t="s">
        <v>222</v>
      </c>
    </row>
    <row r="102" spans="1:8" x14ac:dyDescent="0.35">
      <c r="A102" s="9"/>
      <c r="B102" s="2" t="s">
        <v>206</v>
      </c>
      <c r="C102" s="2">
        <v>1</v>
      </c>
      <c r="D102" s="18"/>
      <c r="E102" s="2"/>
      <c r="F102" s="2"/>
      <c r="G102" s="12">
        <f>F100-G100-G101-(1023*50)</f>
        <v>60.865000000005239</v>
      </c>
      <c r="H102" s="1" t="s">
        <v>223</v>
      </c>
    </row>
    <row r="103" spans="1:8" x14ac:dyDescent="0.35">
      <c r="A103" s="9"/>
      <c r="B103" s="2" t="s">
        <v>213</v>
      </c>
      <c r="C103" s="2">
        <v>1</v>
      </c>
      <c r="D103" s="18"/>
      <c r="E103" s="2"/>
      <c r="F103" s="2"/>
      <c r="G103" s="30"/>
    </row>
    <row r="105" spans="1:8" x14ac:dyDescent="0.35">
      <c r="C105" s="36">
        <f>50-C100</f>
        <v>0</v>
      </c>
    </row>
  </sheetData>
  <mergeCells count="2">
    <mergeCell ref="A1:F1"/>
    <mergeCell ref="A2:F2"/>
  </mergeCells>
  <pageMargins left="0.70866141732283472" right="0.70866141732283472" top="0.74803149606299213" bottom="0.74803149606299213" header="0.31496062992125984" footer="0.31496062992125984"/>
  <pageSetup paperSize="9" scale="55" orientation="landscape" horizontalDpi="203" verticalDpi="20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5"/>
  <sheetViews>
    <sheetView showGridLines="0" zoomScale="70" zoomScaleNormal="70" workbookViewId="0">
      <selection activeCell="G23" sqref="G23"/>
    </sheetView>
  </sheetViews>
  <sheetFormatPr defaultColWidth="8.81640625" defaultRowHeight="14.5" x14ac:dyDescent="0.35"/>
  <cols>
    <col min="1" max="1" width="16.81640625" style="7" customWidth="1"/>
    <col min="2" max="2" width="68.1796875" style="1" customWidth="1"/>
    <col min="3" max="3" width="20.36328125" style="1" customWidth="1"/>
    <col min="4" max="4" width="14.81640625" style="20" customWidth="1"/>
    <col min="5" max="5" width="17.453125" style="1" customWidth="1"/>
    <col min="6" max="6" width="20.81640625" style="1" customWidth="1"/>
    <col min="7" max="7" width="17.1796875" style="1" customWidth="1"/>
    <col min="8" max="9" width="8.81640625" style="1"/>
    <col min="10" max="10" width="11.08984375" style="1" bestFit="1" customWidth="1"/>
    <col min="11" max="16384" width="8.81640625" style="1"/>
  </cols>
  <sheetData>
    <row r="1" spans="1:7" ht="25.5" customHeight="1" x14ac:dyDescent="0.4">
      <c r="A1" s="57" t="s">
        <v>31</v>
      </c>
      <c r="B1" s="57"/>
      <c r="C1" s="57"/>
      <c r="D1" s="57"/>
      <c r="E1" s="57"/>
      <c r="F1" s="57"/>
    </row>
    <row r="2" spans="1:7" x14ac:dyDescent="0.35">
      <c r="A2" s="58" t="s">
        <v>190</v>
      </c>
      <c r="B2" s="58"/>
      <c r="C2" s="58"/>
      <c r="D2" s="58"/>
      <c r="E2" s="58"/>
      <c r="F2" s="58"/>
    </row>
    <row r="3" spans="1:7" s="7" customFormat="1" ht="27" customHeight="1" x14ac:dyDescent="0.35">
      <c r="A3" s="6" t="s">
        <v>0</v>
      </c>
      <c r="B3" s="6" t="s">
        <v>1</v>
      </c>
      <c r="C3" s="6" t="s">
        <v>29</v>
      </c>
      <c r="D3" s="17">
        <v>5000</v>
      </c>
      <c r="E3" s="6"/>
      <c r="F3" s="6"/>
      <c r="G3" s="7">
        <f>D3*4.5+100+9</f>
        <v>22609</v>
      </c>
    </row>
    <row r="4" spans="1:7" s="7" customFormat="1" ht="58" customHeight="1" x14ac:dyDescent="0.35">
      <c r="A4" s="8" t="s">
        <v>2</v>
      </c>
      <c r="B4" s="8" t="s">
        <v>6</v>
      </c>
      <c r="C4" s="8" t="s">
        <v>3</v>
      </c>
      <c r="D4" s="27" t="s">
        <v>237</v>
      </c>
      <c r="E4" s="27" t="s">
        <v>236</v>
      </c>
      <c r="F4" s="27" t="s">
        <v>232</v>
      </c>
      <c r="G4" s="26" t="s">
        <v>4</v>
      </c>
    </row>
    <row r="5" spans="1:7" x14ac:dyDescent="0.35">
      <c r="A5" s="9">
        <v>1</v>
      </c>
      <c r="B5" s="2" t="s">
        <v>8</v>
      </c>
      <c r="C5" s="2">
        <v>0.45</v>
      </c>
      <c r="D5" s="18">
        <f>C5*$D$3</f>
        <v>2250</v>
      </c>
      <c r="E5" s="2">
        <v>0.45</v>
      </c>
      <c r="F5" s="2">
        <f>E5*$D$3</f>
        <v>2250</v>
      </c>
      <c r="G5" s="30"/>
    </row>
    <row r="6" spans="1:7" x14ac:dyDescent="0.35">
      <c r="A6" s="9">
        <v>2</v>
      </c>
      <c r="B6" s="2" t="s">
        <v>7</v>
      </c>
      <c r="C6" s="2">
        <v>0.45</v>
      </c>
      <c r="D6" s="18">
        <f t="shared" ref="D6:D22" si="0">C6*$D$3</f>
        <v>2250</v>
      </c>
      <c r="E6" s="2">
        <v>0.45</v>
      </c>
      <c r="F6" s="2">
        <f t="shared" ref="F6:F22" si="1">E6*$D$3</f>
        <v>2250</v>
      </c>
      <c r="G6" s="30"/>
    </row>
    <row r="7" spans="1:7" x14ac:dyDescent="0.35">
      <c r="A7" s="9">
        <v>3</v>
      </c>
      <c r="B7" s="2" t="s">
        <v>9</v>
      </c>
      <c r="C7" s="2">
        <v>0.45</v>
      </c>
      <c r="D7" s="18">
        <f t="shared" si="0"/>
        <v>2250</v>
      </c>
      <c r="E7" s="2">
        <v>0.45</v>
      </c>
      <c r="F7" s="2">
        <f t="shared" si="1"/>
        <v>2250</v>
      </c>
      <c r="G7" s="30"/>
    </row>
    <row r="8" spans="1:7" x14ac:dyDescent="0.35">
      <c r="A8" s="9">
        <v>4</v>
      </c>
      <c r="B8" s="2" t="s">
        <v>10</v>
      </c>
      <c r="C8" s="2">
        <v>3.1500000000000005E-3</v>
      </c>
      <c r="D8" s="18">
        <f t="shared" si="0"/>
        <v>15.750000000000002</v>
      </c>
      <c r="E8" s="2">
        <v>3.1500000000000005E-3</v>
      </c>
      <c r="F8" s="2">
        <f t="shared" si="1"/>
        <v>15.750000000000002</v>
      </c>
      <c r="G8" s="30"/>
    </row>
    <row r="9" spans="1:7" x14ac:dyDescent="0.35">
      <c r="A9" s="9">
        <v>5</v>
      </c>
      <c r="B9" s="2" t="s">
        <v>11</v>
      </c>
      <c r="C9" s="2">
        <v>7.2000000000000008E-2</v>
      </c>
      <c r="D9" s="18">
        <f t="shared" si="0"/>
        <v>360.00000000000006</v>
      </c>
      <c r="E9" s="2">
        <v>7.2000000000000008E-2</v>
      </c>
      <c r="F9" s="2">
        <f t="shared" si="1"/>
        <v>360.00000000000006</v>
      </c>
      <c r="G9" s="30"/>
    </row>
    <row r="10" spans="1:7" x14ac:dyDescent="0.35">
      <c r="A10" s="9">
        <v>6</v>
      </c>
      <c r="B10" s="2" t="s">
        <v>12</v>
      </c>
      <c r="C10" s="2">
        <v>3.1500000000000005E-3</v>
      </c>
      <c r="D10" s="18">
        <f t="shared" si="0"/>
        <v>15.750000000000002</v>
      </c>
      <c r="E10" s="2">
        <v>3.1500000000000005E-3</v>
      </c>
      <c r="F10" s="2">
        <f t="shared" si="1"/>
        <v>15.750000000000002</v>
      </c>
      <c r="G10" s="30"/>
    </row>
    <row r="11" spans="1:7" x14ac:dyDescent="0.35">
      <c r="A11" s="9">
        <v>7</v>
      </c>
      <c r="B11" s="2" t="s">
        <v>13</v>
      </c>
      <c r="C11" s="2">
        <v>0.18</v>
      </c>
      <c r="D11" s="18">
        <f t="shared" si="0"/>
        <v>900</v>
      </c>
      <c r="E11" s="2">
        <v>0.18</v>
      </c>
      <c r="F11" s="2">
        <f t="shared" si="1"/>
        <v>900</v>
      </c>
      <c r="G11" s="30"/>
    </row>
    <row r="12" spans="1:7" x14ac:dyDescent="0.35">
      <c r="A12" s="9">
        <v>8</v>
      </c>
      <c r="B12" s="2" t="s">
        <v>14</v>
      </c>
      <c r="C12" s="2">
        <v>0.67499999999999993</v>
      </c>
      <c r="D12" s="18">
        <f t="shared" si="0"/>
        <v>3374.9999999999995</v>
      </c>
      <c r="E12" s="2">
        <v>0.67499999999999993</v>
      </c>
      <c r="F12" s="2">
        <f t="shared" si="1"/>
        <v>3374.9999999999995</v>
      </c>
      <c r="G12" s="30"/>
    </row>
    <row r="13" spans="1:7" x14ac:dyDescent="0.35">
      <c r="A13" s="9">
        <v>9</v>
      </c>
      <c r="B13" s="2" t="s">
        <v>15</v>
      </c>
      <c r="C13" s="2">
        <v>3.1500000000000005E-3</v>
      </c>
      <c r="D13" s="18">
        <f t="shared" si="0"/>
        <v>15.750000000000002</v>
      </c>
      <c r="E13" s="2">
        <v>3.1500000000000005E-3</v>
      </c>
      <c r="F13" s="2">
        <f t="shared" si="1"/>
        <v>15.750000000000002</v>
      </c>
      <c r="G13" s="30"/>
    </row>
    <row r="14" spans="1:7" x14ac:dyDescent="0.35">
      <c r="A14" s="9">
        <v>10</v>
      </c>
      <c r="B14" s="2" t="s">
        <v>16</v>
      </c>
      <c r="C14" s="2">
        <v>0.13500000000000001</v>
      </c>
      <c r="D14" s="18">
        <f t="shared" si="0"/>
        <v>675</v>
      </c>
      <c r="E14" s="2">
        <v>0.13500000000000001</v>
      </c>
      <c r="F14" s="2">
        <f t="shared" si="1"/>
        <v>675</v>
      </c>
      <c r="G14" s="30"/>
    </row>
    <row r="15" spans="1:7" x14ac:dyDescent="0.35">
      <c r="A15" s="9">
        <v>11</v>
      </c>
      <c r="B15" s="2" t="s">
        <v>17</v>
      </c>
      <c r="C15" s="2">
        <v>5.6250000000000001E-2</v>
      </c>
      <c r="D15" s="18">
        <f t="shared" si="0"/>
        <v>281.25</v>
      </c>
      <c r="E15" s="2">
        <v>5.6250000000000001E-2</v>
      </c>
      <c r="F15" s="2">
        <f t="shared" si="1"/>
        <v>281.25</v>
      </c>
      <c r="G15" s="30"/>
    </row>
    <row r="16" spans="1:7" x14ac:dyDescent="0.35">
      <c r="A16" s="9">
        <v>12</v>
      </c>
      <c r="B16" s="2" t="s">
        <v>18</v>
      </c>
      <c r="C16" s="2">
        <v>0.13500000000000001</v>
      </c>
      <c r="D16" s="18">
        <f t="shared" si="0"/>
        <v>675</v>
      </c>
      <c r="E16" s="2">
        <v>0.13500000000000001</v>
      </c>
      <c r="F16" s="2">
        <f t="shared" si="1"/>
        <v>675</v>
      </c>
      <c r="G16" s="30"/>
    </row>
    <row r="17" spans="1:10" x14ac:dyDescent="0.35">
      <c r="A17" s="9">
        <v>13</v>
      </c>
      <c r="B17" s="2" t="s">
        <v>19</v>
      </c>
      <c r="C17" s="2">
        <v>5.3999999999999999E-2</v>
      </c>
      <c r="D17" s="18">
        <f t="shared" si="0"/>
        <v>270</v>
      </c>
      <c r="E17" s="2">
        <v>5.3999999999999999E-2</v>
      </c>
      <c r="F17" s="2">
        <f t="shared" si="1"/>
        <v>270</v>
      </c>
      <c r="G17" s="30"/>
    </row>
    <row r="18" spans="1:10" x14ac:dyDescent="0.35">
      <c r="A18" s="9">
        <v>14</v>
      </c>
      <c r="B18" s="2" t="s">
        <v>20</v>
      </c>
      <c r="C18" s="2">
        <v>6.3E-2</v>
      </c>
      <c r="D18" s="18">
        <f t="shared" si="0"/>
        <v>315</v>
      </c>
      <c r="E18" s="2">
        <v>6.3E-2</v>
      </c>
      <c r="F18" s="2">
        <f t="shared" si="1"/>
        <v>315</v>
      </c>
      <c r="G18" s="30"/>
    </row>
    <row r="19" spans="1:10" x14ac:dyDescent="0.35">
      <c r="A19" s="9">
        <v>15</v>
      </c>
      <c r="B19" s="2" t="s">
        <v>238</v>
      </c>
      <c r="C19" s="2">
        <v>5.0000000000000001E-3</v>
      </c>
      <c r="D19" s="18">
        <f t="shared" si="0"/>
        <v>25</v>
      </c>
      <c r="E19" s="2">
        <v>5.0000000000000001E-3</v>
      </c>
      <c r="F19" s="2">
        <f t="shared" si="1"/>
        <v>25</v>
      </c>
      <c r="G19" s="30"/>
    </row>
    <row r="20" spans="1:10" x14ac:dyDescent="0.35">
      <c r="A20" s="9">
        <v>16</v>
      </c>
      <c r="B20" s="2" t="s">
        <v>21</v>
      </c>
      <c r="C20" s="2">
        <v>2.2499999999999999E-2</v>
      </c>
      <c r="D20" s="18">
        <f t="shared" si="0"/>
        <v>112.5</v>
      </c>
      <c r="E20" s="2">
        <v>2.2499999999999999E-2</v>
      </c>
      <c r="F20" s="2">
        <f t="shared" si="1"/>
        <v>112.5</v>
      </c>
      <c r="G20" s="30"/>
    </row>
    <row r="21" spans="1:10" x14ac:dyDescent="0.35">
      <c r="A21" s="9">
        <v>17</v>
      </c>
      <c r="B21" s="2" t="s">
        <v>22</v>
      </c>
      <c r="C21" s="2">
        <v>0.18</v>
      </c>
      <c r="D21" s="18">
        <f t="shared" si="0"/>
        <v>900</v>
      </c>
      <c r="E21" s="2">
        <v>0.18</v>
      </c>
      <c r="F21" s="2">
        <f t="shared" si="1"/>
        <v>900</v>
      </c>
      <c r="G21" s="30"/>
    </row>
    <row r="22" spans="1:10" x14ac:dyDescent="0.35">
      <c r="A22" s="9">
        <v>18</v>
      </c>
      <c r="B22" s="2" t="s">
        <v>23</v>
      </c>
      <c r="C22" s="2">
        <v>1.5628</v>
      </c>
      <c r="D22" s="18">
        <f t="shared" si="0"/>
        <v>7814</v>
      </c>
      <c r="E22" s="2">
        <v>1.6</v>
      </c>
      <c r="F22" s="2">
        <f t="shared" si="1"/>
        <v>8000</v>
      </c>
      <c r="G22" s="30" t="s">
        <v>389</v>
      </c>
    </row>
    <row r="23" spans="1:10" x14ac:dyDescent="0.35">
      <c r="A23" s="9"/>
      <c r="B23" s="5" t="s">
        <v>30</v>
      </c>
      <c r="C23" s="37">
        <f>SUM(C5:C22)</f>
        <v>4.5</v>
      </c>
      <c r="D23" s="19">
        <f>SUM(D5:D22)</f>
        <v>22500</v>
      </c>
      <c r="E23" s="19">
        <f>SUM(E5:E22)</f>
        <v>4.5372000000000003</v>
      </c>
      <c r="F23" s="19">
        <f>SUM(F5:F22)</f>
        <v>22686</v>
      </c>
      <c r="G23" s="38">
        <v>100</v>
      </c>
      <c r="H23" s="39" t="s">
        <v>221</v>
      </c>
      <c r="J23" s="48">
        <f>F23-G23</f>
        <v>22586</v>
      </c>
    </row>
    <row r="24" spans="1:10" x14ac:dyDescent="0.35">
      <c r="A24" s="9"/>
      <c r="B24" s="2" t="s">
        <v>24</v>
      </c>
      <c r="C24" s="2" t="s">
        <v>26</v>
      </c>
      <c r="D24" s="18"/>
      <c r="E24" s="2"/>
      <c r="F24" s="2" t="s">
        <v>28</v>
      </c>
      <c r="G24" s="38">
        <v>9</v>
      </c>
      <c r="H24" s="39" t="s">
        <v>222</v>
      </c>
    </row>
    <row r="25" spans="1:10" x14ac:dyDescent="0.35">
      <c r="A25" s="9"/>
      <c r="B25" s="2" t="s">
        <v>25</v>
      </c>
      <c r="C25" s="2" t="s">
        <v>27</v>
      </c>
      <c r="D25" s="18"/>
      <c r="E25" s="2"/>
      <c r="F25" s="2" t="s">
        <v>28</v>
      </c>
      <c r="G25" s="40">
        <f>F23-D23-G23-G24</f>
        <v>77</v>
      </c>
      <c r="H25" s="39" t="s">
        <v>223</v>
      </c>
    </row>
    <row r="27" spans="1:10" s="7" customFormat="1" ht="27" customHeight="1" x14ac:dyDescent="0.35">
      <c r="A27" s="6" t="s">
        <v>0</v>
      </c>
      <c r="B27" s="6" t="s">
        <v>32</v>
      </c>
      <c r="C27" s="6" t="s">
        <v>29</v>
      </c>
      <c r="D27" s="17">
        <v>5000</v>
      </c>
      <c r="E27" s="6"/>
      <c r="F27" s="6"/>
      <c r="G27" s="7">
        <f>D27*4.5+100+9</f>
        <v>22609</v>
      </c>
    </row>
    <row r="28" spans="1:10" s="7" customFormat="1" ht="48" customHeight="1" x14ac:dyDescent="0.35">
      <c r="A28" s="8" t="s">
        <v>2</v>
      </c>
      <c r="B28" s="8" t="s">
        <v>6</v>
      </c>
      <c r="C28" s="8" t="s">
        <v>3</v>
      </c>
      <c r="D28" s="27" t="s">
        <v>237</v>
      </c>
      <c r="E28" s="27" t="s">
        <v>236</v>
      </c>
      <c r="F28" s="27" t="s">
        <v>232</v>
      </c>
      <c r="G28" s="26" t="s">
        <v>4</v>
      </c>
    </row>
    <row r="29" spans="1:10" x14ac:dyDescent="0.35">
      <c r="A29" s="9">
        <v>1</v>
      </c>
      <c r="B29" s="2" t="s">
        <v>8</v>
      </c>
      <c r="C29" s="2">
        <v>0.45</v>
      </c>
      <c r="D29" s="18">
        <f>C29*$D$27</f>
        <v>2250</v>
      </c>
      <c r="E29" s="2">
        <v>0.45</v>
      </c>
      <c r="F29" s="2">
        <f>E29*$D$27</f>
        <v>2250</v>
      </c>
      <c r="G29" s="30"/>
    </row>
    <row r="30" spans="1:10" x14ac:dyDescent="0.35">
      <c r="A30" s="9">
        <v>2</v>
      </c>
      <c r="B30" s="2" t="s">
        <v>7</v>
      </c>
      <c r="C30" s="2">
        <v>0.45</v>
      </c>
      <c r="D30" s="18">
        <f t="shared" ref="D30:D46" si="2">C30*$D$27</f>
        <v>2250</v>
      </c>
      <c r="E30" s="2">
        <v>0.45</v>
      </c>
      <c r="F30" s="2">
        <f t="shared" ref="F30:F46" si="3">E30*$D$27</f>
        <v>2250</v>
      </c>
      <c r="G30" s="30"/>
    </row>
    <row r="31" spans="1:10" x14ac:dyDescent="0.35">
      <c r="A31" s="9">
        <v>3</v>
      </c>
      <c r="B31" s="2" t="s">
        <v>9</v>
      </c>
      <c r="C31" s="2">
        <v>0.45</v>
      </c>
      <c r="D31" s="18">
        <f t="shared" si="2"/>
        <v>2250</v>
      </c>
      <c r="E31" s="2">
        <v>0.45</v>
      </c>
      <c r="F31" s="2">
        <f t="shared" si="3"/>
        <v>2250</v>
      </c>
      <c r="G31" s="30"/>
    </row>
    <row r="32" spans="1:10" x14ac:dyDescent="0.35">
      <c r="A32" s="9">
        <v>4</v>
      </c>
      <c r="B32" s="2" t="s">
        <v>10</v>
      </c>
      <c r="C32" s="2">
        <v>3.1500000000000005E-3</v>
      </c>
      <c r="D32" s="18">
        <f t="shared" si="2"/>
        <v>15.750000000000002</v>
      </c>
      <c r="E32" s="2">
        <v>3.1500000000000005E-3</v>
      </c>
      <c r="F32" s="2">
        <f t="shared" si="3"/>
        <v>15.750000000000002</v>
      </c>
      <c r="G32" s="30"/>
    </row>
    <row r="33" spans="1:10" x14ac:dyDescent="0.35">
      <c r="A33" s="9">
        <v>5</v>
      </c>
      <c r="B33" s="2" t="s">
        <v>11</v>
      </c>
      <c r="C33" s="2">
        <v>7.2000000000000008E-2</v>
      </c>
      <c r="D33" s="18">
        <f t="shared" si="2"/>
        <v>360.00000000000006</v>
      </c>
      <c r="E33" s="2">
        <v>7.2000000000000008E-2</v>
      </c>
      <c r="F33" s="2">
        <f t="shared" si="3"/>
        <v>360.00000000000006</v>
      </c>
      <c r="G33" s="30"/>
    </row>
    <row r="34" spans="1:10" x14ac:dyDescent="0.35">
      <c r="A34" s="9">
        <v>6</v>
      </c>
      <c r="B34" s="2" t="s">
        <v>12</v>
      </c>
      <c r="C34" s="2">
        <v>3.1500000000000005E-3</v>
      </c>
      <c r="D34" s="18">
        <f t="shared" si="2"/>
        <v>15.750000000000002</v>
      </c>
      <c r="E34" s="2">
        <v>3.1500000000000005E-3</v>
      </c>
      <c r="F34" s="2">
        <f t="shared" si="3"/>
        <v>15.750000000000002</v>
      </c>
      <c r="G34" s="30"/>
    </row>
    <row r="35" spans="1:10" x14ac:dyDescent="0.35">
      <c r="A35" s="9">
        <v>7</v>
      </c>
      <c r="B35" s="2" t="s">
        <v>13</v>
      </c>
      <c r="C35" s="2">
        <v>0.18</v>
      </c>
      <c r="D35" s="18">
        <f t="shared" si="2"/>
        <v>900</v>
      </c>
      <c r="E35" s="2">
        <v>0.18</v>
      </c>
      <c r="F35" s="2">
        <f t="shared" si="3"/>
        <v>900</v>
      </c>
      <c r="G35" s="30"/>
    </row>
    <row r="36" spans="1:10" x14ac:dyDescent="0.35">
      <c r="A36" s="9">
        <v>8</v>
      </c>
      <c r="B36" s="2" t="s">
        <v>14</v>
      </c>
      <c r="C36" s="2">
        <v>0.67499999999999993</v>
      </c>
      <c r="D36" s="18">
        <f t="shared" si="2"/>
        <v>3374.9999999999995</v>
      </c>
      <c r="E36" s="2">
        <v>0.67499999999999993</v>
      </c>
      <c r="F36" s="2">
        <f t="shared" si="3"/>
        <v>3374.9999999999995</v>
      </c>
      <c r="G36" s="30"/>
    </row>
    <row r="37" spans="1:10" x14ac:dyDescent="0.35">
      <c r="A37" s="9">
        <v>9</v>
      </c>
      <c r="B37" s="2" t="s">
        <v>15</v>
      </c>
      <c r="C37" s="2">
        <v>3.1500000000000005E-3</v>
      </c>
      <c r="D37" s="18">
        <f t="shared" si="2"/>
        <v>15.750000000000002</v>
      </c>
      <c r="E37" s="2">
        <v>3.1500000000000005E-3</v>
      </c>
      <c r="F37" s="2">
        <f t="shared" si="3"/>
        <v>15.750000000000002</v>
      </c>
      <c r="G37" s="30"/>
    </row>
    <row r="38" spans="1:10" x14ac:dyDescent="0.35">
      <c r="A38" s="9">
        <v>10</v>
      </c>
      <c r="B38" s="2" t="s">
        <v>16</v>
      </c>
      <c r="C38" s="2">
        <v>0.13500000000000001</v>
      </c>
      <c r="D38" s="18">
        <f t="shared" si="2"/>
        <v>675</v>
      </c>
      <c r="E38" s="2">
        <v>0.13500000000000001</v>
      </c>
      <c r="F38" s="2">
        <f t="shared" si="3"/>
        <v>675</v>
      </c>
      <c r="G38" s="30"/>
    </row>
    <row r="39" spans="1:10" x14ac:dyDescent="0.35">
      <c r="A39" s="9">
        <v>11</v>
      </c>
      <c r="B39" s="2" t="s">
        <v>17</v>
      </c>
      <c r="C39" s="2">
        <v>5.6250000000000001E-2</v>
      </c>
      <c r="D39" s="18">
        <f t="shared" si="2"/>
        <v>281.25</v>
      </c>
      <c r="E39" s="2">
        <v>5.6250000000000001E-2</v>
      </c>
      <c r="F39" s="2">
        <f t="shared" si="3"/>
        <v>281.25</v>
      </c>
      <c r="G39" s="30"/>
    </row>
    <row r="40" spans="1:10" x14ac:dyDescent="0.35">
      <c r="A40" s="9">
        <v>12</v>
      </c>
      <c r="B40" s="2" t="s">
        <v>18</v>
      </c>
      <c r="C40" s="2">
        <v>0.13500000000000001</v>
      </c>
      <c r="D40" s="18">
        <f t="shared" si="2"/>
        <v>675</v>
      </c>
      <c r="E40" s="2">
        <v>0.13500000000000001</v>
      </c>
      <c r="F40" s="2">
        <f t="shared" si="3"/>
        <v>675</v>
      </c>
      <c r="G40" s="30"/>
    </row>
    <row r="41" spans="1:10" x14ac:dyDescent="0.35">
      <c r="A41" s="9">
        <v>13</v>
      </c>
      <c r="B41" s="2" t="s">
        <v>19</v>
      </c>
      <c r="C41" s="2">
        <v>6.3E-2</v>
      </c>
      <c r="D41" s="18">
        <f t="shared" si="2"/>
        <v>315</v>
      </c>
      <c r="E41" s="2">
        <v>6.3E-2</v>
      </c>
      <c r="F41" s="2">
        <f t="shared" si="3"/>
        <v>315</v>
      </c>
      <c r="G41" s="30"/>
    </row>
    <row r="42" spans="1:10" x14ac:dyDescent="0.35">
      <c r="A42" s="9">
        <v>14</v>
      </c>
      <c r="B42" s="2" t="s">
        <v>20</v>
      </c>
      <c r="C42" s="2">
        <v>6.3E-2</v>
      </c>
      <c r="D42" s="18">
        <f t="shared" si="2"/>
        <v>315</v>
      </c>
      <c r="E42" s="2">
        <v>6.3E-2</v>
      </c>
      <c r="F42" s="2">
        <f t="shared" si="3"/>
        <v>315</v>
      </c>
      <c r="G42" s="30"/>
    </row>
    <row r="43" spans="1:10" x14ac:dyDescent="0.35">
      <c r="A43" s="9">
        <v>15</v>
      </c>
      <c r="B43" s="2" t="s">
        <v>238</v>
      </c>
      <c r="C43" s="2">
        <v>1E-3</v>
      </c>
      <c r="D43" s="18">
        <f>C43*$D$27</f>
        <v>5</v>
      </c>
      <c r="E43" s="2">
        <v>1E-3</v>
      </c>
      <c r="F43" s="2">
        <f t="shared" si="3"/>
        <v>5</v>
      </c>
      <c r="G43" s="30"/>
    </row>
    <row r="44" spans="1:10" x14ac:dyDescent="0.35">
      <c r="A44" s="9">
        <v>16</v>
      </c>
      <c r="B44" s="2" t="s">
        <v>21</v>
      </c>
      <c r="C44" s="2">
        <v>2.2499999999999999E-2</v>
      </c>
      <c r="D44" s="18">
        <f t="shared" si="2"/>
        <v>112.5</v>
      </c>
      <c r="E44" s="2">
        <v>2.2499999999999999E-2</v>
      </c>
      <c r="F44" s="2">
        <f t="shared" si="3"/>
        <v>112.5</v>
      </c>
      <c r="G44" s="30"/>
    </row>
    <row r="45" spans="1:10" x14ac:dyDescent="0.35">
      <c r="A45" s="9">
        <v>17</v>
      </c>
      <c r="B45" s="2" t="s">
        <v>22</v>
      </c>
      <c r="C45" s="2">
        <v>0.18</v>
      </c>
      <c r="D45" s="18">
        <f t="shared" si="2"/>
        <v>900</v>
      </c>
      <c r="E45" s="2">
        <v>0.18</v>
      </c>
      <c r="F45" s="2">
        <f t="shared" si="3"/>
        <v>900</v>
      </c>
      <c r="G45" s="30"/>
    </row>
    <row r="46" spans="1:10" x14ac:dyDescent="0.35">
      <c r="A46" s="9">
        <v>18</v>
      </c>
      <c r="B46" s="2" t="s">
        <v>23</v>
      </c>
      <c r="C46" s="2">
        <v>1.5578000000000001</v>
      </c>
      <c r="D46" s="18">
        <f t="shared" si="2"/>
        <v>7789</v>
      </c>
      <c r="E46" s="2">
        <v>1.6</v>
      </c>
      <c r="F46" s="2">
        <f t="shared" si="3"/>
        <v>8000</v>
      </c>
      <c r="G46" s="30" t="s">
        <v>389</v>
      </c>
    </row>
    <row r="47" spans="1:10" x14ac:dyDescent="0.35">
      <c r="A47" s="9"/>
      <c r="B47" s="5" t="s">
        <v>30</v>
      </c>
      <c r="C47" s="4">
        <f>SUM(C29:C46)</f>
        <v>4.5000000000000009</v>
      </c>
      <c r="D47" s="19">
        <f t="shared" ref="D47:F47" si="4">SUM(D29:D46)</f>
        <v>22500</v>
      </c>
      <c r="E47" s="4">
        <f t="shared" si="4"/>
        <v>4.5422000000000011</v>
      </c>
      <c r="F47" s="4">
        <f t="shared" si="4"/>
        <v>22711</v>
      </c>
      <c r="G47" s="38">
        <v>100</v>
      </c>
      <c r="H47" s="39" t="s">
        <v>221</v>
      </c>
      <c r="J47" s="1">
        <f>F47-G47</f>
        <v>22611</v>
      </c>
    </row>
    <row r="48" spans="1:10" x14ac:dyDescent="0.35">
      <c r="A48" s="9"/>
      <c r="B48" s="2" t="s">
        <v>24</v>
      </c>
      <c r="C48" s="2" t="s">
        <v>26</v>
      </c>
      <c r="D48" s="18"/>
      <c r="E48" s="2"/>
      <c r="F48" s="2" t="s">
        <v>28</v>
      </c>
      <c r="G48" s="38">
        <v>9</v>
      </c>
      <c r="H48" s="39" t="s">
        <v>222</v>
      </c>
    </row>
    <row r="49" spans="1:8" x14ac:dyDescent="0.35">
      <c r="A49" s="9"/>
      <c r="B49" s="2" t="s">
        <v>25</v>
      </c>
      <c r="C49" s="2" t="s">
        <v>27</v>
      </c>
      <c r="D49" s="18"/>
      <c r="E49" s="2"/>
      <c r="F49" s="2" t="s">
        <v>28</v>
      </c>
      <c r="G49" s="30">
        <f>F47-D47-G47-G48</f>
        <v>102</v>
      </c>
      <c r="H49" s="1" t="s">
        <v>239</v>
      </c>
    </row>
    <row r="51" spans="1:8" s="7" customFormat="1" ht="27" customHeight="1" x14ac:dyDescent="0.35">
      <c r="A51" s="6" t="s">
        <v>0</v>
      </c>
      <c r="B51" s="6" t="s">
        <v>34</v>
      </c>
      <c r="C51" s="6" t="s">
        <v>29</v>
      </c>
      <c r="D51" s="17">
        <v>5000</v>
      </c>
      <c r="E51" s="6"/>
      <c r="F51" s="6"/>
      <c r="G51" s="28">
        <f>D51*4.5+9+100</f>
        <v>22609</v>
      </c>
    </row>
    <row r="52" spans="1:8" s="7" customFormat="1" ht="48" customHeight="1" x14ac:dyDescent="0.35">
      <c r="A52" s="8" t="s">
        <v>2</v>
      </c>
      <c r="B52" s="8" t="s">
        <v>6</v>
      </c>
      <c r="C52" s="8" t="s">
        <v>3</v>
      </c>
      <c r="D52" s="27" t="s">
        <v>237</v>
      </c>
      <c r="E52" s="27" t="s">
        <v>236</v>
      </c>
      <c r="F52" s="27" t="s">
        <v>232</v>
      </c>
      <c r="G52" s="26" t="s">
        <v>4</v>
      </c>
    </row>
    <row r="53" spans="1:8" x14ac:dyDescent="0.35">
      <c r="A53" s="9">
        <v>1</v>
      </c>
      <c r="B53" s="2" t="s">
        <v>8</v>
      </c>
      <c r="C53" s="2">
        <v>0.45</v>
      </c>
      <c r="D53" s="18">
        <f>C53*$D$51</f>
        <v>2250</v>
      </c>
      <c r="E53" s="2">
        <v>0.45</v>
      </c>
      <c r="F53" s="41">
        <f>E53*$D$51</f>
        <v>2250</v>
      </c>
      <c r="G53" s="30"/>
    </row>
    <row r="54" spans="1:8" x14ac:dyDescent="0.35">
      <c r="A54" s="9">
        <v>2</v>
      </c>
      <c r="B54" s="2" t="s">
        <v>7</v>
      </c>
      <c r="C54" s="2">
        <v>0.45</v>
      </c>
      <c r="D54" s="18">
        <f t="shared" ref="D54:D70" si="5">C54*$D$51</f>
        <v>2250</v>
      </c>
      <c r="E54" s="2">
        <v>0.45</v>
      </c>
      <c r="F54" s="41">
        <f t="shared" ref="F54:F71" si="6">E54*$D$51</f>
        <v>2250</v>
      </c>
      <c r="G54" s="30"/>
    </row>
    <row r="55" spans="1:8" x14ac:dyDescent="0.35">
      <c r="A55" s="9">
        <v>3</v>
      </c>
      <c r="B55" s="2" t="s">
        <v>9</v>
      </c>
      <c r="C55" s="2">
        <v>0.45</v>
      </c>
      <c r="D55" s="18">
        <f t="shared" si="5"/>
        <v>2250</v>
      </c>
      <c r="E55" s="2">
        <v>0.45</v>
      </c>
      <c r="F55" s="41">
        <f t="shared" si="6"/>
        <v>2250</v>
      </c>
      <c r="G55" s="30"/>
    </row>
    <row r="56" spans="1:8" x14ac:dyDescent="0.35">
      <c r="A56" s="9">
        <v>4</v>
      </c>
      <c r="B56" s="2" t="s">
        <v>10</v>
      </c>
      <c r="C56" s="2">
        <v>3.1500000000000005E-3</v>
      </c>
      <c r="D56" s="18">
        <f t="shared" si="5"/>
        <v>15.750000000000002</v>
      </c>
      <c r="E56" s="2">
        <v>3.1500000000000005E-3</v>
      </c>
      <c r="F56" s="41">
        <f t="shared" si="6"/>
        <v>15.750000000000002</v>
      </c>
      <c r="G56" s="30"/>
    </row>
    <row r="57" spans="1:8" x14ac:dyDescent="0.35">
      <c r="A57" s="9">
        <v>5</v>
      </c>
      <c r="B57" s="2" t="s">
        <v>11</v>
      </c>
      <c r="C57" s="2">
        <v>7.2000000000000008E-2</v>
      </c>
      <c r="D57" s="18">
        <f t="shared" si="5"/>
        <v>360.00000000000006</v>
      </c>
      <c r="E57" s="2">
        <v>7.2000000000000008E-2</v>
      </c>
      <c r="F57" s="41">
        <f t="shared" si="6"/>
        <v>360.00000000000006</v>
      </c>
      <c r="G57" s="30"/>
    </row>
    <row r="58" spans="1:8" x14ac:dyDescent="0.35">
      <c r="A58" s="9">
        <v>6</v>
      </c>
      <c r="B58" s="2" t="s">
        <v>12</v>
      </c>
      <c r="C58" s="2">
        <v>3.1500000000000005E-3</v>
      </c>
      <c r="D58" s="18">
        <f t="shared" si="5"/>
        <v>15.750000000000002</v>
      </c>
      <c r="E58" s="2">
        <v>3.1500000000000005E-3</v>
      </c>
      <c r="F58" s="41">
        <f t="shared" si="6"/>
        <v>15.750000000000002</v>
      </c>
      <c r="G58" s="30"/>
    </row>
    <row r="59" spans="1:8" x14ac:dyDescent="0.35">
      <c r="A59" s="9">
        <v>7</v>
      </c>
      <c r="B59" s="2" t="s">
        <v>13</v>
      </c>
      <c r="C59" s="2">
        <v>0.18</v>
      </c>
      <c r="D59" s="18">
        <f t="shared" si="5"/>
        <v>900</v>
      </c>
      <c r="E59" s="2">
        <v>0.18</v>
      </c>
      <c r="F59" s="41">
        <f t="shared" si="6"/>
        <v>900</v>
      </c>
      <c r="G59" s="30"/>
    </row>
    <row r="60" spans="1:8" x14ac:dyDescent="0.35">
      <c r="A60" s="9">
        <v>8</v>
      </c>
      <c r="B60" s="2" t="s">
        <v>14</v>
      </c>
      <c r="C60" s="2">
        <v>0.67499999999999993</v>
      </c>
      <c r="D60" s="18">
        <f t="shared" si="5"/>
        <v>3374.9999999999995</v>
      </c>
      <c r="E60" s="2">
        <v>0.67499999999999993</v>
      </c>
      <c r="F60" s="41">
        <f t="shared" si="6"/>
        <v>3374.9999999999995</v>
      </c>
      <c r="G60" s="30"/>
    </row>
    <row r="61" spans="1:8" x14ac:dyDescent="0.35">
      <c r="A61" s="9">
        <v>9</v>
      </c>
      <c r="B61" s="2" t="s">
        <v>15</v>
      </c>
      <c r="C61" s="2">
        <v>3.1500000000000005E-3</v>
      </c>
      <c r="D61" s="18">
        <f t="shared" si="5"/>
        <v>15.750000000000002</v>
      </c>
      <c r="E61" s="2">
        <v>3.1500000000000005E-3</v>
      </c>
      <c r="F61" s="41">
        <f t="shared" si="6"/>
        <v>15.750000000000002</v>
      </c>
      <c r="G61" s="30"/>
    </row>
    <row r="62" spans="1:8" x14ac:dyDescent="0.35">
      <c r="A62" s="9">
        <v>10</v>
      </c>
      <c r="B62" s="2" t="s">
        <v>16</v>
      </c>
      <c r="C62" s="2">
        <v>0.13500000000000001</v>
      </c>
      <c r="D62" s="18">
        <f t="shared" si="5"/>
        <v>675</v>
      </c>
      <c r="E62" s="2">
        <v>0.13500000000000001</v>
      </c>
      <c r="F62" s="41">
        <f t="shared" si="6"/>
        <v>675</v>
      </c>
      <c r="G62" s="30"/>
    </row>
    <row r="63" spans="1:8" x14ac:dyDescent="0.35">
      <c r="A63" s="9">
        <v>11</v>
      </c>
      <c r="B63" s="2" t="s">
        <v>17</v>
      </c>
      <c r="C63" s="2">
        <v>5.6250000000000001E-2</v>
      </c>
      <c r="D63" s="18">
        <f t="shared" si="5"/>
        <v>281.25</v>
      </c>
      <c r="E63" s="2">
        <v>5.6250000000000001E-2</v>
      </c>
      <c r="F63" s="41">
        <f t="shared" si="6"/>
        <v>281.25</v>
      </c>
      <c r="G63" s="30"/>
    </row>
    <row r="64" spans="1:8" x14ac:dyDescent="0.35">
      <c r="A64" s="9">
        <v>12</v>
      </c>
      <c r="B64" s="2" t="s">
        <v>18</v>
      </c>
      <c r="C64" s="2">
        <v>0.13500000000000001</v>
      </c>
      <c r="D64" s="18">
        <f t="shared" si="5"/>
        <v>675</v>
      </c>
      <c r="E64" s="2">
        <v>0.13500000000000001</v>
      </c>
      <c r="F64" s="41">
        <f t="shared" si="6"/>
        <v>675</v>
      </c>
      <c r="G64" s="30"/>
    </row>
    <row r="65" spans="1:10" x14ac:dyDescent="0.35">
      <c r="A65" s="9">
        <v>13</v>
      </c>
      <c r="B65" s="2" t="s">
        <v>19</v>
      </c>
      <c r="C65" s="2">
        <v>6.3E-2</v>
      </c>
      <c r="D65" s="18">
        <f t="shared" si="5"/>
        <v>315</v>
      </c>
      <c r="E65" s="2">
        <v>6.3E-2</v>
      </c>
      <c r="F65" s="41">
        <f t="shared" si="6"/>
        <v>315</v>
      </c>
      <c r="G65" s="30"/>
    </row>
    <row r="66" spans="1:10" x14ac:dyDescent="0.35">
      <c r="A66" s="9">
        <v>14</v>
      </c>
      <c r="B66" s="2" t="s">
        <v>20</v>
      </c>
      <c r="C66" s="2">
        <v>6.3E-2</v>
      </c>
      <c r="D66" s="18">
        <f t="shared" si="5"/>
        <v>315</v>
      </c>
      <c r="E66" s="2">
        <v>6.3E-2</v>
      </c>
      <c r="F66" s="41">
        <f t="shared" si="6"/>
        <v>315</v>
      </c>
      <c r="G66" s="30"/>
    </row>
    <row r="67" spans="1:10" x14ac:dyDescent="0.35">
      <c r="A67" s="9">
        <v>15</v>
      </c>
      <c r="B67" s="2" t="s">
        <v>33</v>
      </c>
      <c r="C67" s="2">
        <v>6.3E-2</v>
      </c>
      <c r="D67" s="18">
        <f t="shared" si="5"/>
        <v>315</v>
      </c>
      <c r="E67" s="2">
        <v>6.3E-2</v>
      </c>
      <c r="F67" s="41">
        <f t="shared" si="6"/>
        <v>315</v>
      </c>
      <c r="G67" s="30"/>
    </row>
    <row r="68" spans="1:10" x14ac:dyDescent="0.35">
      <c r="A68" s="9">
        <v>16</v>
      </c>
      <c r="B68" s="2" t="s">
        <v>21</v>
      </c>
      <c r="C68" s="2">
        <v>2.2499999999999999E-2</v>
      </c>
      <c r="D68" s="18">
        <f t="shared" si="5"/>
        <v>112.5</v>
      </c>
      <c r="E68" s="2">
        <v>2.2499999999999999E-2</v>
      </c>
      <c r="F68" s="41">
        <f t="shared" si="6"/>
        <v>112.5</v>
      </c>
      <c r="G68" s="30"/>
    </row>
    <row r="69" spans="1:10" x14ac:dyDescent="0.35">
      <c r="A69" s="9">
        <v>17</v>
      </c>
      <c r="B69" s="2" t="s">
        <v>22</v>
      </c>
      <c r="C69" s="2">
        <v>0.18</v>
      </c>
      <c r="D69" s="18">
        <f t="shared" si="5"/>
        <v>900</v>
      </c>
      <c r="E69" s="2">
        <v>0.18</v>
      </c>
      <c r="F69" s="41">
        <f t="shared" si="6"/>
        <v>900</v>
      </c>
      <c r="G69" s="30"/>
    </row>
    <row r="70" spans="1:10" x14ac:dyDescent="0.35">
      <c r="A70" s="9">
        <v>18</v>
      </c>
      <c r="B70" s="2" t="s">
        <v>23</v>
      </c>
      <c r="C70" s="2">
        <v>1.4957999999999991</v>
      </c>
      <c r="D70" s="18">
        <f t="shared" si="5"/>
        <v>7478.9999999999955</v>
      </c>
      <c r="E70" s="2">
        <v>1.55</v>
      </c>
      <c r="F70" s="41">
        <f t="shared" si="6"/>
        <v>7750</v>
      </c>
      <c r="G70" s="30" t="s">
        <v>387</v>
      </c>
    </row>
    <row r="71" spans="1:10" x14ac:dyDescent="0.35">
      <c r="A71" s="9"/>
      <c r="B71" s="5" t="s">
        <v>30</v>
      </c>
      <c r="C71" s="4">
        <f>SUM(C53:C70)</f>
        <v>4.5</v>
      </c>
      <c r="D71" s="19">
        <f>SUM(D53:D70)</f>
        <v>22499.999999999996</v>
      </c>
      <c r="E71" s="42">
        <f>SUM(E53:E70)</f>
        <v>4.5542000000000007</v>
      </c>
      <c r="F71" s="41">
        <f t="shared" si="6"/>
        <v>22771.000000000004</v>
      </c>
      <c r="G71" s="43">
        <v>100</v>
      </c>
      <c r="H71" s="44" t="s">
        <v>221</v>
      </c>
      <c r="I71" s="44"/>
      <c r="J71" s="48">
        <f>F71-G71</f>
        <v>22671.000000000004</v>
      </c>
    </row>
    <row r="72" spans="1:10" x14ac:dyDescent="0.35">
      <c r="A72" s="9"/>
      <c r="B72" s="2" t="s">
        <v>24</v>
      </c>
      <c r="C72" s="2" t="s">
        <v>26</v>
      </c>
      <c r="D72" s="18"/>
      <c r="E72" s="2"/>
      <c r="F72" s="2" t="s">
        <v>28</v>
      </c>
      <c r="G72" s="43">
        <v>9</v>
      </c>
      <c r="H72" s="44" t="s">
        <v>222</v>
      </c>
      <c r="I72" s="44"/>
    </row>
    <row r="73" spans="1:10" x14ac:dyDescent="0.35">
      <c r="A73" s="9"/>
      <c r="B73" s="2" t="s">
        <v>25</v>
      </c>
      <c r="C73" s="2" t="s">
        <v>27</v>
      </c>
      <c r="D73" s="18"/>
      <c r="E73" s="2"/>
      <c r="F73" s="2" t="s">
        <v>28</v>
      </c>
      <c r="G73" s="45">
        <f>F71-G71-G72-D71</f>
        <v>162.00000000000728</v>
      </c>
      <c r="H73" s="1" t="s">
        <v>239</v>
      </c>
    </row>
    <row r="74" spans="1:10" x14ac:dyDescent="0.35">
      <c r="C74" s="1">
        <f>4.5-C71</f>
        <v>0</v>
      </c>
    </row>
    <row r="76" spans="1:10" s="7" customFormat="1" ht="27" customHeight="1" x14ac:dyDescent="0.35">
      <c r="A76" s="6" t="s">
        <v>0</v>
      </c>
      <c r="B76" s="6" t="s">
        <v>35</v>
      </c>
      <c r="C76" s="6" t="s">
        <v>29</v>
      </c>
      <c r="D76" s="17">
        <v>5000</v>
      </c>
      <c r="E76" s="6"/>
      <c r="F76" s="6"/>
      <c r="G76" s="28">
        <f>D76*4.5+9+100</f>
        <v>22609</v>
      </c>
    </row>
    <row r="77" spans="1:10" ht="55.5" customHeight="1" x14ac:dyDescent="0.35">
      <c r="A77" s="8" t="s">
        <v>2</v>
      </c>
      <c r="B77" s="3" t="s">
        <v>6</v>
      </c>
      <c r="C77" s="3" t="s">
        <v>3</v>
      </c>
      <c r="D77" s="27" t="s">
        <v>237</v>
      </c>
      <c r="E77" s="27" t="s">
        <v>236</v>
      </c>
      <c r="F77" s="27" t="s">
        <v>232</v>
      </c>
      <c r="G77" s="26" t="s">
        <v>4</v>
      </c>
    </row>
    <row r="78" spans="1:10" x14ac:dyDescent="0.35">
      <c r="A78" s="9">
        <v>1</v>
      </c>
      <c r="B78" s="2" t="s">
        <v>8</v>
      </c>
      <c r="C78" s="2">
        <v>0.45</v>
      </c>
      <c r="D78" s="18">
        <f>C78*$D$76</f>
        <v>2250</v>
      </c>
      <c r="E78" s="2">
        <v>0.45</v>
      </c>
      <c r="F78" s="41">
        <f>E78*$D$76</f>
        <v>2250</v>
      </c>
      <c r="G78" s="30"/>
    </row>
    <row r="79" spans="1:10" x14ac:dyDescent="0.35">
      <c r="A79" s="9">
        <v>2</v>
      </c>
      <c r="B79" s="2" t="s">
        <v>7</v>
      </c>
      <c r="C79" s="2">
        <v>0.45</v>
      </c>
      <c r="D79" s="18">
        <f t="shared" ref="D79:D94" si="7">C79*$D$76</f>
        <v>2250</v>
      </c>
      <c r="E79" s="2">
        <v>0.45</v>
      </c>
      <c r="F79" s="41">
        <f t="shared" ref="F79:F94" si="8">E79*$D$76</f>
        <v>2250</v>
      </c>
      <c r="G79" s="30"/>
    </row>
    <row r="80" spans="1:10" x14ac:dyDescent="0.35">
      <c r="A80" s="9">
        <v>3</v>
      </c>
      <c r="B80" s="2" t="s">
        <v>9</v>
      </c>
      <c r="C80" s="2">
        <v>0.45</v>
      </c>
      <c r="D80" s="18">
        <f t="shared" si="7"/>
        <v>2250</v>
      </c>
      <c r="E80" s="2">
        <v>0.45</v>
      </c>
      <c r="F80" s="41">
        <f t="shared" si="8"/>
        <v>2250</v>
      </c>
      <c r="G80" s="30"/>
    </row>
    <row r="81" spans="1:10" x14ac:dyDescent="0.35">
      <c r="A81" s="9">
        <v>4</v>
      </c>
      <c r="B81" s="2" t="s">
        <v>10</v>
      </c>
      <c r="C81" s="2">
        <v>3.1500000000000005E-3</v>
      </c>
      <c r="D81" s="18">
        <f t="shared" si="7"/>
        <v>15.750000000000002</v>
      </c>
      <c r="E81" s="2">
        <v>3.1500000000000005E-3</v>
      </c>
      <c r="F81" s="41">
        <f t="shared" si="8"/>
        <v>15.750000000000002</v>
      </c>
      <c r="G81" s="30"/>
    </row>
    <row r="82" spans="1:10" x14ac:dyDescent="0.35">
      <c r="A82" s="9">
        <v>5</v>
      </c>
      <c r="B82" s="2" t="s">
        <v>11</v>
      </c>
      <c r="C82" s="2">
        <v>7.2000000000000008E-2</v>
      </c>
      <c r="D82" s="18">
        <f t="shared" si="7"/>
        <v>360.00000000000006</v>
      </c>
      <c r="E82" s="2">
        <v>7.2000000000000008E-2</v>
      </c>
      <c r="F82" s="41">
        <f t="shared" si="8"/>
        <v>360.00000000000006</v>
      </c>
      <c r="G82" s="30"/>
    </row>
    <row r="83" spans="1:10" x14ac:dyDescent="0.35">
      <c r="A83" s="9">
        <v>6</v>
      </c>
      <c r="B83" s="2" t="s">
        <v>12</v>
      </c>
      <c r="C83" s="2">
        <v>3.1500000000000005E-3</v>
      </c>
      <c r="D83" s="18">
        <f t="shared" si="7"/>
        <v>15.750000000000002</v>
      </c>
      <c r="E83" s="2">
        <v>3.1500000000000005E-3</v>
      </c>
      <c r="F83" s="41">
        <f t="shared" si="8"/>
        <v>15.750000000000002</v>
      </c>
      <c r="G83" s="30"/>
    </row>
    <row r="84" spans="1:10" x14ac:dyDescent="0.35">
      <c r="A84" s="9">
        <v>7</v>
      </c>
      <c r="B84" s="2" t="s">
        <v>13</v>
      </c>
      <c r="C84" s="2">
        <v>0.18</v>
      </c>
      <c r="D84" s="18">
        <f t="shared" si="7"/>
        <v>900</v>
      </c>
      <c r="E84" s="2">
        <v>0.18</v>
      </c>
      <c r="F84" s="41">
        <f t="shared" si="8"/>
        <v>900</v>
      </c>
      <c r="G84" s="30"/>
    </row>
    <row r="85" spans="1:10" x14ac:dyDescent="0.35">
      <c r="A85" s="9">
        <v>8</v>
      </c>
      <c r="B85" s="2" t="s">
        <v>14</v>
      </c>
      <c r="C85" s="2">
        <v>0.67499999999999993</v>
      </c>
      <c r="D85" s="18">
        <f t="shared" si="7"/>
        <v>3374.9999999999995</v>
      </c>
      <c r="E85" s="2">
        <v>0.67499999999999993</v>
      </c>
      <c r="F85" s="41">
        <f t="shared" si="8"/>
        <v>3374.9999999999995</v>
      </c>
      <c r="G85" s="30"/>
    </row>
    <row r="86" spans="1:10" x14ac:dyDescent="0.35">
      <c r="A86" s="9">
        <v>9</v>
      </c>
      <c r="B86" s="2" t="s">
        <v>15</v>
      </c>
      <c r="C86" s="2">
        <v>3.1500000000000005E-3</v>
      </c>
      <c r="D86" s="18">
        <f t="shared" si="7"/>
        <v>15.750000000000002</v>
      </c>
      <c r="E86" s="2">
        <v>3.1500000000000005E-3</v>
      </c>
      <c r="F86" s="41">
        <f t="shared" si="8"/>
        <v>15.750000000000002</v>
      </c>
      <c r="G86" s="30"/>
    </row>
    <row r="87" spans="1:10" x14ac:dyDescent="0.35">
      <c r="A87" s="9">
        <v>10</v>
      </c>
      <c r="B87" s="2" t="s">
        <v>16</v>
      </c>
      <c r="C87" s="2">
        <v>0.13500000000000001</v>
      </c>
      <c r="D87" s="18">
        <f t="shared" si="7"/>
        <v>675</v>
      </c>
      <c r="E87" s="2">
        <v>0.13500000000000001</v>
      </c>
      <c r="F87" s="41">
        <f t="shared" si="8"/>
        <v>675</v>
      </c>
      <c r="G87" s="30"/>
    </row>
    <row r="88" spans="1:10" x14ac:dyDescent="0.35">
      <c r="A88" s="9">
        <v>11</v>
      </c>
      <c r="B88" s="2" t="s">
        <v>17</v>
      </c>
      <c r="C88" s="2">
        <v>5.6250000000000001E-2</v>
      </c>
      <c r="D88" s="18">
        <f t="shared" si="7"/>
        <v>281.25</v>
      </c>
      <c r="E88" s="2">
        <v>5.6250000000000001E-2</v>
      </c>
      <c r="F88" s="41">
        <f t="shared" si="8"/>
        <v>281.25</v>
      </c>
      <c r="G88" s="30"/>
    </row>
    <row r="89" spans="1:10" x14ac:dyDescent="0.35">
      <c r="A89" s="9">
        <v>12</v>
      </c>
      <c r="B89" s="2" t="s">
        <v>18</v>
      </c>
      <c r="C89" s="2">
        <v>0.13500000000000001</v>
      </c>
      <c r="D89" s="18">
        <f t="shared" si="7"/>
        <v>675</v>
      </c>
      <c r="E89" s="2">
        <v>0.13500000000000001</v>
      </c>
      <c r="F89" s="41">
        <f t="shared" si="8"/>
        <v>675</v>
      </c>
      <c r="G89" s="30"/>
    </row>
    <row r="90" spans="1:10" x14ac:dyDescent="0.35">
      <c r="A90" s="9">
        <v>13</v>
      </c>
      <c r="B90" s="2" t="s">
        <v>19</v>
      </c>
      <c r="C90" s="2">
        <v>6.3E-2</v>
      </c>
      <c r="D90" s="18">
        <f t="shared" si="7"/>
        <v>315</v>
      </c>
      <c r="E90" s="2">
        <v>6.3E-2</v>
      </c>
      <c r="F90" s="41">
        <f t="shared" si="8"/>
        <v>315</v>
      </c>
      <c r="G90" s="30"/>
    </row>
    <row r="91" spans="1:10" x14ac:dyDescent="0.35">
      <c r="A91" s="9">
        <v>14</v>
      </c>
      <c r="B91" s="2" t="s">
        <v>20</v>
      </c>
      <c r="C91" s="2">
        <v>5.3999999999999999E-2</v>
      </c>
      <c r="D91" s="18">
        <f t="shared" si="7"/>
        <v>270</v>
      </c>
      <c r="E91" s="2">
        <v>5.3999999999999999E-2</v>
      </c>
      <c r="F91" s="41">
        <f t="shared" si="8"/>
        <v>270</v>
      </c>
      <c r="G91" s="30"/>
    </row>
    <row r="92" spans="1:10" x14ac:dyDescent="0.35">
      <c r="A92" s="9">
        <v>15</v>
      </c>
      <c r="B92" s="2" t="s">
        <v>21</v>
      </c>
      <c r="C92" s="2">
        <v>2.2499999999999999E-2</v>
      </c>
      <c r="D92" s="18">
        <f t="shared" si="7"/>
        <v>112.5</v>
      </c>
      <c r="E92" s="2">
        <v>2.2499999999999999E-2</v>
      </c>
      <c r="F92" s="41">
        <f t="shared" si="8"/>
        <v>112.5</v>
      </c>
      <c r="G92" s="30"/>
    </row>
    <row r="93" spans="1:10" x14ac:dyDescent="0.35">
      <c r="A93" s="9">
        <v>16</v>
      </c>
      <c r="B93" s="2" t="s">
        <v>22</v>
      </c>
      <c r="C93" s="2">
        <v>0.18</v>
      </c>
      <c r="D93" s="18">
        <f t="shared" si="7"/>
        <v>900</v>
      </c>
      <c r="E93" s="2">
        <v>0.18</v>
      </c>
      <c r="F93" s="41">
        <f t="shared" si="8"/>
        <v>900</v>
      </c>
      <c r="G93" s="30"/>
    </row>
    <row r="94" spans="1:10" x14ac:dyDescent="0.35">
      <c r="A94" s="9">
        <v>17</v>
      </c>
      <c r="B94" s="2" t="s">
        <v>23</v>
      </c>
      <c r="C94" s="2">
        <v>1.5677999999999996</v>
      </c>
      <c r="D94" s="18">
        <f t="shared" si="7"/>
        <v>7838.9999999999982</v>
      </c>
      <c r="E94" s="2">
        <v>1.6</v>
      </c>
      <c r="F94" s="41">
        <f t="shared" si="8"/>
        <v>8000</v>
      </c>
      <c r="G94" s="30" t="s">
        <v>389</v>
      </c>
    </row>
    <row r="95" spans="1:10" x14ac:dyDescent="0.35">
      <c r="A95" s="9"/>
      <c r="B95" s="5" t="s">
        <v>30</v>
      </c>
      <c r="C95" s="4">
        <f>SUM(C78:C94)</f>
        <v>4.5</v>
      </c>
      <c r="D95" s="4">
        <f>SUM(D78:D94)</f>
        <v>22500</v>
      </c>
      <c r="E95" s="4">
        <f>SUM(E78:E94)</f>
        <v>4.5322000000000005</v>
      </c>
      <c r="F95" s="4">
        <f>SUM(F78:F94)</f>
        <v>22661</v>
      </c>
      <c r="G95" s="43">
        <v>100</v>
      </c>
      <c r="H95" s="44" t="s">
        <v>221</v>
      </c>
      <c r="I95" s="44"/>
      <c r="J95" s="1">
        <f>F95-G95</f>
        <v>22561</v>
      </c>
    </row>
    <row r="96" spans="1:10" x14ac:dyDescent="0.35">
      <c r="A96" s="9"/>
      <c r="B96" s="2" t="s">
        <v>24</v>
      </c>
      <c r="C96" s="2" t="s">
        <v>26</v>
      </c>
      <c r="D96" s="18"/>
      <c r="E96" s="2"/>
      <c r="F96" s="2" t="s">
        <v>28</v>
      </c>
      <c r="G96" s="43">
        <v>9</v>
      </c>
      <c r="H96" s="44" t="s">
        <v>222</v>
      </c>
      <c r="I96" s="44"/>
    </row>
    <row r="97" spans="1:8" x14ac:dyDescent="0.35">
      <c r="A97" s="9"/>
      <c r="B97" s="2" t="s">
        <v>25</v>
      </c>
      <c r="C97" s="2" t="s">
        <v>27</v>
      </c>
      <c r="D97" s="18"/>
      <c r="E97" s="2"/>
      <c r="F97" s="2" t="s">
        <v>28</v>
      </c>
      <c r="G97" s="30">
        <f>F95-D95-G95-G96</f>
        <v>52</v>
      </c>
      <c r="H97" s="1" t="s">
        <v>239</v>
      </c>
    </row>
    <row r="98" spans="1:8" x14ac:dyDescent="0.35">
      <c r="C98" s="1">
        <f>4.5-C95</f>
        <v>0</v>
      </c>
    </row>
    <row r="99" spans="1:8" s="7" customFormat="1" ht="27" customHeight="1" x14ac:dyDescent="0.35">
      <c r="A99" s="6" t="s">
        <v>0</v>
      </c>
      <c r="B99" s="6" t="s">
        <v>36</v>
      </c>
      <c r="C99" s="6" t="s">
        <v>29</v>
      </c>
      <c r="D99" s="17">
        <v>5000</v>
      </c>
      <c r="E99" s="6"/>
      <c r="F99" s="6"/>
      <c r="G99" s="7">
        <f>5000*4.5+9+100</f>
        <v>22609</v>
      </c>
    </row>
    <row r="100" spans="1:8" ht="55.5" customHeight="1" x14ac:dyDescent="0.35">
      <c r="A100" s="8" t="s">
        <v>2</v>
      </c>
      <c r="B100" s="3" t="s">
        <v>6</v>
      </c>
      <c r="C100" s="3" t="s">
        <v>3</v>
      </c>
      <c r="D100" s="27" t="s">
        <v>237</v>
      </c>
      <c r="E100" s="27" t="s">
        <v>236</v>
      </c>
      <c r="F100" s="27" t="s">
        <v>232</v>
      </c>
      <c r="G100" s="26" t="s">
        <v>4</v>
      </c>
    </row>
    <row r="101" spans="1:8" x14ac:dyDescent="0.35">
      <c r="A101" s="9">
        <v>1</v>
      </c>
      <c r="B101" s="2" t="s">
        <v>8</v>
      </c>
      <c r="C101" s="2">
        <v>0.45</v>
      </c>
      <c r="D101" s="18">
        <f>C101*$D$99</f>
        <v>2250</v>
      </c>
      <c r="E101" s="2">
        <v>0.45</v>
      </c>
      <c r="F101" s="41">
        <f>E101*$D$99</f>
        <v>2250</v>
      </c>
      <c r="G101" s="30"/>
    </row>
    <row r="102" spans="1:8" x14ac:dyDescent="0.35">
      <c r="A102" s="9">
        <v>2</v>
      </c>
      <c r="B102" s="2" t="s">
        <v>7</v>
      </c>
      <c r="C102" s="2">
        <v>0.45</v>
      </c>
      <c r="D102" s="18">
        <f t="shared" ref="D102:D117" si="9">C102*$D$99</f>
        <v>2250</v>
      </c>
      <c r="E102" s="2">
        <v>0.45</v>
      </c>
      <c r="F102" s="41">
        <f t="shared" ref="F102:F117" si="10">E102*$D$99</f>
        <v>2250</v>
      </c>
      <c r="G102" s="30"/>
    </row>
    <row r="103" spans="1:8" x14ac:dyDescent="0.35">
      <c r="A103" s="9">
        <v>3</v>
      </c>
      <c r="B103" s="2" t="s">
        <v>9</v>
      </c>
      <c r="C103" s="2">
        <v>0.45</v>
      </c>
      <c r="D103" s="18">
        <f t="shared" si="9"/>
        <v>2250</v>
      </c>
      <c r="E103" s="2">
        <v>0.45</v>
      </c>
      <c r="F103" s="41">
        <f t="shared" si="10"/>
        <v>2250</v>
      </c>
      <c r="G103" s="30"/>
    </row>
    <row r="104" spans="1:8" x14ac:dyDescent="0.35">
      <c r="A104" s="9">
        <v>4</v>
      </c>
      <c r="B104" s="2" t="s">
        <v>10</v>
      </c>
      <c r="C104" s="2">
        <v>3.1500000000000005E-3</v>
      </c>
      <c r="D104" s="18">
        <f t="shared" si="9"/>
        <v>15.750000000000002</v>
      </c>
      <c r="E104" s="2">
        <v>3.1500000000000005E-3</v>
      </c>
      <c r="F104" s="41">
        <f t="shared" si="10"/>
        <v>15.750000000000002</v>
      </c>
      <c r="G104" s="30"/>
    </row>
    <row r="105" spans="1:8" x14ac:dyDescent="0.35">
      <c r="A105" s="9">
        <v>5</v>
      </c>
      <c r="B105" s="2" t="s">
        <v>11</v>
      </c>
      <c r="C105" s="2">
        <v>7.2000000000000008E-2</v>
      </c>
      <c r="D105" s="18">
        <f t="shared" si="9"/>
        <v>360.00000000000006</v>
      </c>
      <c r="E105" s="2">
        <v>7.2000000000000008E-2</v>
      </c>
      <c r="F105" s="41">
        <f t="shared" si="10"/>
        <v>360.00000000000006</v>
      </c>
      <c r="G105" s="30"/>
    </row>
    <row r="106" spans="1:8" x14ac:dyDescent="0.35">
      <c r="A106" s="9">
        <v>6</v>
      </c>
      <c r="B106" s="2" t="s">
        <v>12</v>
      </c>
      <c r="C106" s="2">
        <v>3.1500000000000005E-3</v>
      </c>
      <c r="D106" s="18">
        <f t="shared" si="9"/>
        <v>15.750000000000002</v>
      </c>
      <c r="E106" s="2">
        <v>3.1500000000000005E-3</v>
      </c>
      <c r="F106" s="41">
        <f t="shared" si="10"/>
        <v>15.750000000000002</v>
      </c>
      <c r="G106" s="30"/>
    </row>
    <row r="107" spans="1:8" x14ac:dyDescent="0.35">
      <c r="A107" s="9">
        <v>7</v>
      </c>
      <c r="B107" s="2" t="s">
        <v>13</v>
      </c>
      <c r="C107" s="2">
        <v>0.18</v>
      </c>
      <c r="D107" s="18">
        <f t="shared" si="9"/>
        <v>900</v>
      </c>
      <c r="E107" s="2">
        <v>0.18</v>
      </c>
      <c r="F107" s="41">
        <f t="shared" si="10"/>
        <v>900</v>
      </c>
      <c r="G107" s="30"/>
    </row>
    <row r="108" spans="1:8" x14ac:dyDescent="0.35">
      <c r="A108" s="9">
        <v>8</v>
      </c>
      <c r="B108" s="2" t="s">
        <v>14</v>
      </c>
      <c r="C108" s="2">
        <v>0.67499999999999993</v>
      </c>
      <c r="D108" s="18">
        <f t="shared" si="9"/>
        <v>3374.9999999999995</v>
      </c>
      <c r="E108" s="2">
        <v>0.67499999999999993</v>
      </c>
      <c r="F108" s="41">
        <f t="shared" si="10"/>
        <v>3374.9999999999995</v>
      </c>
      <c r="G108" s="30"/>
    </row>
    <row r="109" spans="1:8" x14ac:dyDescent="0.35">
      <c r="A109" s="9">
        <v>9</v>
      </c>
      <c r="B109" s="2" t="s">
        <v>15</v>
      </c>
      <c r="C109" s="2">
        <v>3.1500000000000005E-3</v>
      </c>
      <c r="D109" s="18">
        <f t="shared" si="9"/>
        <v>15.750000000000002</v>
      </c>
      <c r="E109" s="2">
        <v>3.1500000000000005E-3</v>
      </c>
      <c r="F109" s="41">
        <f t="shared" si="10"/>
        <v>15.750000000000002</v>
      </c>
      <c r="G109" s="30"/>
    </row>
    <row r="110" spans="1:8" x14ac:dyDescent="0.35">
      <c r="A110" s="9">
        <v>10</v>
      </c>
      <c r="B110" s="2" t="s">
        <v>16</v>
      </c>
      <c r="C110" s="2">
        <v>0.13500000000000001</v>
      </c>
      <c r="D110" s="18">
        <f t="shared" si="9"/>
        <v>675</v>
      </c>
      <c r="E110" s="2">
        <v>0.13500000000000001</v>
      </c>
      <c r="F110" s="41">
        <f t="shared" si="10"/>
        <v>675</v>
      </c>
      <c r="G110" s="30"/>
    </row>
    <row r="111" spans="1:8" x14ac:dyDescent="0.35">
      <c r="A111" s="9">
        <v>11</v>
      </c>
      <c r="B111" s="2" t="s">
        <v>17</v>
      </c>
      <c r="C111" s="2">
        <v>5.6250000000000001E-2</v>
      </c>
      <c r="D111" s="18">
        <f t="shared" si="9"/>
        <v>281.25</v>
      </c>
      <c r="E111" s="2">
        <v>5.6250000000000001E-2</v>
      </c>
      <c r="F111" s="41">
        <f t="shared" si="10"/>
        <v>281.25</v>
      </c>
      <c r="G111" s="30"/>
    </row>
    <row r="112" spans="1:8" x14ac:dyDescent="0.35">
      <c r="A112" s="9">
        <v>12</v>
      </c>
      <c r="B112" s="2" t="s">
        <v>18</v>
      </c>
      <c r="C112" s="2">
        <v>0.13500000000000001</v>
      </c>
      <c r="D112" s="18">
        <f t="shared" si="9"/>
        <v>675</v>
      </c>
      <c r="E112" s="2">
        <v>0.13500000000000001</v>
      </c>
      <c r="F112" s="41">
        <f t="shared" si="10"/>
        <v>675</v>
      </c>
      <c r="G112" s="30"/>
    </row>
    <row r="113" spans="1:10" x14ac:dyDescent="0.35">
      <c r="A113" s="9">
        <v>13</v>
      </c>
      <c r="B113" s="2" t="s">
        <v>19</v>
      </c>
      <c r="C113" s="2">
        <v>5.8500000000000003E-2</v>
      </c>
      <c r="D113" s="18">
        <f t="shared" si="9"/>
        <v>292.5</v>
      </c>
      <c r="E113" s="2">
        <v>5.8500000000000003E-2</v>
      </c>
      <c r="F113" s="41">
        <f t="shared" si="10"/>
        <v>292.5</v>
      </c>
      <c r="G113" s="30"/>
    </row>
    <row r="114" spans="1:10" x14ac:dyDescent="0.35">
      <c r="A114" s="9">
        <v>14</v>
      </c>
      <c r="B114" s="2" t="s">
        <v>20</v>
      </c>
      <c r="C114" s="2">
        <v>5.8500000000000003E-2</v>
      </c>
      <c r="D114" s="18">
        <f t="shared" si="9"/>
        <v>292.5</v>
      </c>
      <c r="E114" s="2">
        <v>5.8500000000000003E-2</v>
      </c>
      <c r="F114" s="41">
        <f t="shared" si="10"/>
        <v>292.5</v>
      </c>
      <c r="G114" s="30"/>
    </row>
    <row r="115" spans="1:10" x14ac:dyDescent="0.35">
      <c r="A115" s="9">
        <v>15</v>
      </c>
      <c r="B115" s="2" t="s">
        <v>21</v>
      </c>
      <c r="C115" s="2">
        <v>2.2499999999999999E-2</v>
      </c>
      <c r="D115" s="18">
        <f t="shared" si="9"/>
        <v>112.5</v>
      </c>
      <c r="E115" s="2">
        <v>2.2499999999999999E-2</v>
      </c>
      <c r="F115" s="41">
        <f t="shared" si="10"/>
        <v>112.5</v>
      </c>
      <c r="G115" s="30"/>
    </row>
    <row r="116" spans="1:10" x14ac:dyDescent="0.35">
      <c r="A116" s="9">
        <v>16</v>
      </c>
      <c r="B116" s="2" t="s">
        <v>22</v>
      </c>
      <c r="C116" s="2">
        <v>0.18</v>
      </c>
      <c r="D116" s="18">
        <f t="shared" si="9"/>
        <v>900</v>
      </c>
      <c r="E116" s="2">
        <v>0.18</v>
      </c>
      <c r="F116" s="41">
        <f t="shared" si="10"/>
        <v>900</v>
      </c>
      <c r="G116" s="30"/>
    </row>
    <row r="117" spans="1:10" x14ac:dyDescent="0.35">
      <c r="A117" s="9">
        <v>17</v>
      </c>
      <c r="B117" s="2" t="s">
        <v>23</v>
      </c>
      <c r="C117" s="2">
        <v>1.5677999999999996</v>
      </c>
      <c r="D117" s="18">
        <f t="shared" si="9"/>
        <v>7838.9999999999982</v>
      </c>
      <c r="E117" s="2">
        <v>1.62</v>
      </c>
      <c r="F117" s="41">
        <f t="shared" si="10"/>
        <v>8100.0000000000009</v>
      </c>
      <c r="G117" s="30" t="s">
        <v>390</v>
      </c>
    </row>
    <row r="118" spans="1:10" x14ac:dyDescent="0.35">
      <c r="A118" s="9"/>
      <c r="B118" s="5" t="s">
        <v>30</v>
      </c>
      <c r="C118" s="50">
        <f>SUM(C101:C117)</f>
        <v>4.5</v>
      </c>
      <c r="D118" s="50">
        <f>SUM(D101:D117)</f>
        <v>22500</v>
      </c>
      <c r="E118" s="50">
        <f>SUM(E101:E117)</f>
        <v>4.5522000000000009</v>
      </c>
      <c r="F118" s="50">
        <f>SUM(F101:F117)</f>
        <v>22761</v>
      </c>
      <c r="G118" s="30">
        <v>100</v>
      </c>
      <c r="H118" s="1" t="s">
        <v>221</v>
      </c>
      <c r="J118" s="52">
        <f>F118-G118</f>
        <v>22661</v>
      </c>
    </row>
    <row r="119" spans="1:10" x14ac:dyDescent="0.35">
      <c r="A119" s="9"/>
      <c r="B119" s="2" t="s">
        <v>24</v>
      </c>
      <c r="C119" s="2" t="s">
        <v>26</v>
      </c>
      <c r="D119" s="18"/>
      <c r="E119" s="2"/>
      <c r="F119" s="2" t="s">
        <v>28</v>
      </c>
      <c r="G119" s="30">
        <v>9</v>
      </c>
      <c r="H119" s="1" t="s">
        <v>222</v>
      </c>
    </row>
    <row r="120" spans="1:10" x14ac:dyDescent="0.35">
      <c r="A120" s="9"/>
      <c r="B120" s="2" t="s">
        <v>25</v>
      </c>
      <c r="C120" s="2" t="s">
        <v>27</v>
      </c>
      <c r="D120" s="18"/>
      <c r="E120" s="2"/>
      <c r="F120" s="2" t="s">
        <v>28</v>
      </c>
      <c r="G120" s="30">
        <f>F118-D118-G118-G119</f>
        <v>152</v>
      </c>
      <c r="H120" s="1" t="s">
        <v>239</v>
      </c>
    </row>
    <row r="121" spans="1:10" x14ac:dyDescent="0.35">
      <c r="C121" s="52">
        <f>4.5-C118</f>
        <v>0</v>
      </c>
    </row>
    <row r="122" spans="1:10" s="7" customFormat="1" ht="27" customHeight="1" x14ac:dyDescent="0.35">
      <c r="A122" s="6" t="s">
        <v>0</v>
      </c>
      <c r="B122" s="6" t="s">
        <v>37</v>
      </c>
      <c r="C122" s="6" t="s">
        <v>29</v>
      </c>
      <c r="D122" s="17">
        <v>5000</v>
      </c>
      <c r="E122" s="6"/>
      <c r="F122" s="6"/>
      <c r="G122" s="7">
        <f>5000*4.5+9+100</f>
        <v>22609</v>
      </c>
    </row>
    <row r="123" spans="1:10" ht="55.5" customHeight="1" x14ac:dyDescent="0.35">
      <c r="A123" s="8" t="s">
        <v>2</v>
      </c>
      <c r="B123" s="3" t="s">
        <v>6</v>
      </c>
      <c r="C123" s="3" t="s">
        <v>3</v>
      </c>
      <c r="D123" s="27" t="s">
        <v>237</v>
      </c>
      <c r="E123" s="27" t="s">
        <v>236</v>
      </c>
      <c r="F123" s="27" t="s">
        <v>232</v>
      </c>
      <c r="G123" s="26" t="s">
        <v>4</v>
      </c>
    </row>
    <row r="124" spans="1:10" x14ac:dyDescent="0.35">
      <c r="A124" s="9">
        <v>1</v>
      </c>
      <c r="B124" s="2" t="s">
        <v>8</v>
      </c>
      <c r="C124" s="2">
        <v>0.45</v>
      </c>
      <c r="D124" s="18">
        <f>C124*$D$122</f>
        <v>2250</v>
      </c>
      <c r="E124" s="2">
        <v>0.45</v>
      </c>
      <c r="F124" s="41">
        <f>E124*$D$122</f>
        <v>2250</v>
      </c>
      <c r="G124" s="30"/>
    </row>
    <row r="125" spans="1:10" x14ac:dyDescent="0.35">
      <c r="A125" s="9">
        <v>2</v>
      </c>
      <c r="B125" s="2" t="s">
        <v>7</v>
      </c>
      <c r="C125" s="2">
        <v>0.45</v>
      </c>
      <c r="D125" s="18">
        <f t="shared" ref="D125:D141" si="11">C125*$D$122</f>
        <v>2250</v>
      </c>
      <c r="E125" s="2">
        <v>0.45</v>
      </c>
      <c r="F125" s="41">
        <f t="shared" ref="F125:F141" si="12">E125*$D$122</f>
        <v>2250</v>
      </c>
      <c r="G125" s="30"/>
    </row>
    <row r="126" spans="1:10" x14ac:dyDescent="0.35">
      <c r="A126" s="9">
        <v>3</v>
      </c>
      <c r="B126" s="2" t="s">
        <v>9</v>
      </c>
      <c r="C126" s="2">
        <v>0.45</v>
      </c>
      <c r="D126" s="18">
        <f t="shared" si="11"/>
        <v>2250</v>
      </c>
      <c r="E126" s="2">
        <v>0.45</v>
      </c>
      <c r="F126" s="41">
        <f t="shared" si="12"/>
        <v>2250</v>
      </c>
      <c r="G126" s="30"/>
    </row>
    <row r="127" spans="1:10" x14ac:dyDescent="0.35">
      <c r="A127" s="9">
        <v>4</v>
      </c>
      <c r="B127" s="2" t="s">
        <v>10</v>
      </c>
      <c r="C127" s="2">
        <v>3.1500000000000005E-3</v>
      </c>
      <c r="D127" s="18">
        <f t="shared" si="11"/>
        <v>15.750000000000002</v>
      </c>
      <c r="E127" s="2">
        <v>3.1500000000000005E-3</v>
      </c>
      <c r="F127" s="41">
        <f t="shared" si="12"/>
        <v>15.750000000000002</v>
      </c>
      <c r="G127" s="30"/>
    </row>
    <row r="128" spans="1:10" x14ac:dyDescent="0.35">
      <c r="A128" s="9">
        <v>5</v>
      </c>
      <c r="B128" s="2" t="s">
        <v>11</v>
      </c>
      <c r="C128" s="2">
        <v>7.2000000000000008E-2</v>
      </c>
      <c r="D128" s="18">
        <f t="shared" si="11"/>
        <v>360.00000000000006</v>
      </c>
      <c r="E128" s="2">
        <v>7.2000000000000008E-2</v>
      </c>
      <c r="F128" s="41">
        <f t="shared" si="12"/>
        <v>360.00000000000006</v>
      </c>
      <c r="G128" s="30"/>
    </row>
    <row r="129" spans="1:10" x14ac:dyDescent="0.35">
      <c r="A129" s="9">
        <v>6</v>
      </c>
      <c r="B129" s="2" t="s">
        <v>12</v>
      </c>
      <c r="C129" s="2">
        <v>3.1500000000000005E-3</v>
      </c>
      <c r="D129" s="18">
        <f t="shared" si="11"/>
        <v>15.750000000000002</v>
      </c>
      <c r="E129" s="2">
        <v>3.1500000000000005E-3</v>
      </c>
      <c r="F129" s="41">
        <f t="shared" si="12"/>
        <v>15.750000000000002</v>
      </c>
      <c r="G129" s="30"/>
    </row>
    <row r="130" spans="1:10" x14ac:dyDescent="0.35">
      <c r="A130" s="9">
        <v>7</v>
      </c>
      <c r="B130" s="2" t="s">
        <v>13</v>
      </c>
      <c r="C130" s="2">
        <v>0.18</v>
      </c>
      <c r="D130" s="18">
        <f t="shared" si="11"/>
        <v>900</v>
      </c>
      <c r="E130" s="2">
        <v>0.18</v>
      </c>
      <c r="F130" s="41">
        <f t="shared" si="12"/>
        <v>900</v>
      </c>
      <c r="G130" s="30"/>
    </row>
    <row r="131" spans="1:10" x14ac:dyDescent="0.35">
      <c r="A131" s="9">
        <v>8</v>
      </c>
      <c r="B131" s="2" t="s">
        <v>14</v>
      </c>
      <c r="C131" s="2">
        <v>0.67499999999999993</v>
      </c>
      <c r="D131" s="18">
        <f t="shared" si="11"/>
        <v>3374.9999999999995</v>
      </c>
      <c r="E131" s="2">
        <v>0.67499999999999993</v>
      </c>
      <c r="F131" s="41">
        <f t="shared" si="12"/>
        <v>3374.9999999999995</v>
      </c>
      <c r="G131" s="30"/>
    </row>
    <row r="132" spans="1:10" x14ac:dyDescent="0.35">
      <c r="A132" s="9">
        <v>9</v>
      </c>
      <c r="B132" s="2" t="s">
        <v>15</v>
      </c>
      <c r="C132" s="2">
        <v>3.1500000000000005E-3</v>
      </c>
      <c r="D132" s="18">
        <f t="shared" si="11"/>
        <v>15.750000000000002</v>
      </c>
      <c r="E132" s="2">
        <v>3.1500000000000005E-3</v>
      </c>
      <c r="F132" s="41">
        <f t="shared" si="12"/>
        <v>15.750000000000002</v>
      </c>
      <c r="G132" s="30"/>
    </row>
    <row r="133" spans="1:10" x14ac:dyDescent="0.35">
      <c r="A133" s="9">
        <v>10</v>
      </c>
      <c r="B133" s="2" t="s">
        <v>16</v>
      </c>
      <c r="C133" s="2">
        <v>0.13500000000000001</v>
      </c>
      <c r="D133" s="18">
        <f t="shared" si="11"/>
        <v>675</v>
      </c>
      <c r="E133" s="2">
        <v>0.13500000000000001</v>
      </c>
      <c r="F133" s="41">
        <f t="shared" si="12"/>
        <v>675</v>
      </c>
      <c r="G133" s="30"/>
    </row>
    <row r="134" spans="1:10" x14ac:dyDescent="0.35">
      <c r="A134" s="9">
        <v>11</v>
      </c>
      <c r="B134" s="2" t="s">
        <v>17</v>
      </c>
      <c r="C134" s="2">
        <v>5.6250000000000001E-2</v>
      </c>
      <c r="D134" s="18">
        <f t="shared" si="11"/>
        <v>281.25</v>
      </c>
      <c r="E134" s="2">
        <v>5.6250000000000001E-2</v>
      </c>
      <c r="F134" s="41">
        <f t="shared" si="12"/>
        <v>281.25</v>
      </c>
      <c r="G134" s="30"/>
    </row>
    <row r="135" spans="1:10" x14ac:dyDescent="0.35">
      <c r="A135" s="9">
        <v>12</v>
      </c>
      <c r="B135" s="2" t="s">
        <v>18</v>
      </c>
      <c r="C135" s="2">
        <v>0.13500000000000001</v>
      </c>
      <c r="D135" s="18">
        <f t="shared" si="11"/>
        <v>675</v>
      </c>
      <c r="E135" s="2">
        <v>0.13500000000000001</v>
      </c>
      <c r="F135" s="41">
        <f t="shared" si="12"/>
        <v>675</v>
      </c>
      <c r="G135" s="30"/>
    </row>
    <row r="136" spans="1:10" x14ac:dyDescent="0.35">
      <c r="A136" s="9">
        <v>13</v>
      </c>
      <c r="B136" s="2" t="s">
        <v>19</v>
      </c>
      <c r="C136" s="2">
        <v>5.8500000000000003E-2</v>
      </c>
      <c r="D136" s="18">
        <f t="shared" si="11"/>
        <v>292.5</v>
      </c>
      <c r="E136" s="2">
        <v>5.8500000000000003E-2</v>
      </c>
      <c r="F136" s="41">
        <f t="shared" si="12"/>
        <v>292.5</v>
      </c>
      <c r="G136" s="30"/>
    </row>
    <row r="137" spans="1:10" x14ac:dyDescent="0.35">
      <c r="A137" s="9">
        <v>14</v>
      </c>
      <c r="B137" s="2" t="s">
        <v>20</v>
      </c>
      <c r="C137" s="2">
        <v>5.3999999999999999E-2</v>
      </c>
      <c r="D137" s="18">
        <f t="shared" si="11"/>
        <v>270</v>
      </c>
      <c r="E137" s="2">
        <v>5.3999999999999999E-2</v>
      </c>
      <c r="F137" s="41">
        <f t="shared" si="12"/>
        <v>270</v>
      </c>
      <c r="G137" s="30"/>
    </row>
    <row r="138" spans="1:10" x14ac:dyDescent="0.35">
      <c r="A138" s="9">
        <v>15</v>
      </c>
      <c r="B138" s="2" t="s">
        <v>33</v>
      </c>
      <c r="C138" s="2">
        <v>4.9500000000000002E-2</v>
      </c>
      <c r="D138" s="18">
        <f t="shared" si="11"/>
        <v>247.5</v>
      </c>
      <c r="E138" s="2">
        <v>4.9500000000000002E-2</v>
      </c>
      <c r="F138" s="41">
        <f t="shared" si="12"/>
        <v>247.5</v>
      </c>
      <c r="G138" s="30"/>
    </row>
    <row r="139" spans="1:10" x14ac:dyDescent="0.35">
      <c r="A139" s="9">
        <v>16</v>
      </c>
      <c r="B139" s="2" t="s">
        <v>21</v>
      </c>
      <c r="C139" s="2">
        <v>2.2499999999999999E-2</v>
      </c>
      <c r="D139" s="18">
        <f t="shared" si="11"/>
        <v>112.5</v>
      </c>
      <c r="E139" s="2">
        <v>2.2499999999999999E-2</v>
      </c>
      <c r="F139" s="41">
        <f t="shared" si="12"/>
        <v>112.5</v>
      </c>
      <c r="G139" s="30"/>
    </row>
    <row r="140" spans="1:10" x14ac:dyDescent="0.35">
      <c r="A140" s="9">
        <v>17</v>
      </c>
      <c r="B140" s="2" t="s">
        <v>22</v>
      </c>
      <c r="C140" s="2">
        <v>0.18</v>
      </c>
      <c r="D140" s="18">
        <f t="shared" si="11"/>
        <v>900</v>
      </c>
      <c r="E140" s="2">
        <v>0.18</v>
      </c>
      <c r="F140" s="41">
        <f t="shared" si="12"/>
        <v>900</v>
      </c>
      <c r="G140" s="30"/>
    </row>
    <row r="141" spans="1:10" x14ac:dyDescent="0.35">
      <c r="A141" s="9">
        <v>18</v>
      </c>
      <c r="B141" s="2" t="s">
        <v>23</v>
      </c>
      <c r="C141" s="2">
        <v>1.5227999999999999</v>
      </c>
      <c r="D141" s="18">
        <f t="shared" si="11"/>
        <v>7614</v>
      </c>
      <c r="E141" s="2">
        <v>1.58</v>
      </c>
      <c r="F141" s="41">
        <f t="shared" si="12"/>
        <v>7900</v>
      </c>
      <c r="G141" s="30" t="s">
        <v>388</v>
      </c>
    </row>
    <row r="142" spans="1:10" x14ac:dyDescent="0.35">
      <c r="A142" s="9"/>
      <c r="B142" s="5" t="s">
        <v>30</v>
      </c>
      <c r="C142" s="37">
        <f>SUM(C124:C141)</f>
        <v>4.5</v>
      </c>
      <c r="D142" s="42">
        <f>SUM(D124:D141)</f>
        <v>22500</v>
      </c>
      <c r="E142" s="42">
        <f>SUM(E124:E141)</f>
        <v>4.5571999999999999</v>
      </c>
      <c r="F142" s="42">
        <f>SUM(F124:F141)</f>
        <v>22786</v>
      </c>
      <c r="G142" s="51">
        <v>100</v>
      </c>
      <c r="H142" s="1" t="s">
        <v>221</v>
      </c>
      <c r="J142" s="36">
        <f>F142-G142</f>
        <v>22686</v>
      </c>
    </row>
    <row r="143" spans="1:10" x14ac:dyDescent="0.35">
      <c r="A143" s="9"/>
      <c r="B143" s="2" t="s">
        <v>24</v>
      </c>
      <c r="C143" s="2" t="s">
        <v>26</v>
      </c>
      <c r="D143" s="18"/>
      <c r="E143" s="2"/>
      <c r="F143" s="2" t="s">
        <v>28</v>
      </c>
      <c r="G143" s="30">
        <v>9</v>
      </c>
      <c r="H143" s="1" t="s">
        <v>222</v>
      </c>
    </row>
    <row r="144" spans="1:10" x14ac:dyDescent="0.35">
      <c r="A144" s="9"/>
      <c r="B144" s="2" t="s">
        <v>25</v>
      </c>
      <c r="C144" s="2" t="s">
        <v>27</v>
      </c>
      <c r="D144" s="18"/>
      <c r="E144" s="2"/>
      <c r="F144" s="2" t="s">
        <v>28</v>
      </c>
      <c r="G144" s="26">
        <f>F142-D142-G142-G143</f>
        <v>177</v>
      </c>
      <c r="H144" s="1" t="s">
        <v>239</v>
      </c>
    </row>
    <row r="145" spans="3:3" x14ac:dyDescent="0.35">
      <c r="C145" s="53">
        <f>4.5-C142</f>
        <v>0</v>
      </c>
    </row>
  </sheetData>
  <mergeCells count="2">
    <mergeCell ref="A1:F1"/>
    <mergeCell ref="A2:F2"/>
  </mergeCells>
  <pageMargins left="0.31496062992125984" right="0.31496062992125984" top="0.15748031496062992" bottom="0.15748031496062992" header="0.31496062992125984" footer="0.31496062992125984"/>
  <pageSetup paperSize="9" scale="57"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
  <sheetViews>
    <sheetView showGridLines="0" zoomScale="70" zoomScaleNormal="70" workbookViewId="0">
      <selection activeCell="H25" sqref="H25"/>
    </sheetView>
  </sheetViews>
  <sheetFormatPr defaultColWidth="8.81640625" defaultRowHeight="14.5" x14ac:dyDescent="0.35"/>
  <cols>
    <col min="1" max="1" width="16.81640625" style="7" customWidth="1"/>
    <col min="2" max="2" width="68.1796875" style="1" customWidth="1"/>
    <col min="3" max="3" width="30.81640625" style="1" customWidth="1"/>
    <col min="4" max="4" width="12.1796875" style="20" customWidth="1"/>
    <col min="5" max="5" width="14.36328125" style="1" customWidth="1"/>
    <col min="6" max="6" width="18" style="20" customWidth="1"/>
    <col min="7" max="7" width="20.81640625" style="1" customWidth="1"/>
    <col min="8" max="16384" width="8.81640625" style="1"/>
  </cols>
  <sheetData>
    <row r="1" spans="1:7" ht="25.5" customHeight="1" x14ac:dyDescent="0.4">
      <c r="A1" s="57" t="s">
        <v>31</v>
      </c>
      <c r="B1" s="57"/>
      <c r="C1" s="57"/>
      <c r="D1" s="57"/>
      <c r="E1" s="57"/>
      <c r="F1" s="57"/>
      <c r="G1" s="57"/>
    </row>
    <row r="2" spans="1:7" x14ac:dyDescent="0.35">
      <c r="A2" s="58" t="s">
        <v>191</v>
      </c>
      <c r="B2" s="58"/>
      <c r="C2" s="58"/>
      <c r="D2" s="58"/>
      <c r="E2" s="58"/>
      <c r="F2" s="58"/>
      <c r="G2" s="58"/>
    </row>
    <row r="3" spans="1:7" s="7" customFormat="1" ht="27" customHeight="1" x14ac:dyDescent="0.35">
      <c r="A3" s="6" t="s">
        <v>0</v>
      </c>
      <c r="B3" s="6" t="s">
        <v>127</v>
      </c>
      <c r="C3" s="6" t="s">
        <v>102</v>
      </c>
      <c r="D3" s="17">
        <v>2000</v>
      </c>
      <c r="E3" s="6"/>
      <c r="F3" s="17"/>
      <c r="G3" s="6">
        <f>2000*15+100+30</f>
        <v>30130</v>
      </c>
    </row>
    <row r="4" spans="1:7" ht="55.5" customHeight="1" x14ac:dyDescent="0.35">
      <c r="A4" s="8" t="s">
        <v>2</v>
      </c>
      <c r="B4" s="3" t="s">
        <v>6</v>
      </c>
      <c r="C4" s="3" t="s">
        <v>128</v>
      </c>
      <c r="D4" s="27" t="s">
        <v>235</v>
      </c>
      <c r="E4" s="27" t="s">
        <v>240</v>
      </c>
      <c r="F4" s="27" t="s">
        <v>232</v>
      </c>
      <c r="G4" s="27" t="s">
        <v>4</v>
      </c>
    </row>
    <row r="5" spans="1:7" x14ac:dyDescent="0.35">
      <c r="A5" s="9">
        <v>1</v>
      </c>
      <c r="B5" s="2" t="s">
        <v>57</v>
      </c>
      <c r="C5" s="10">
        <v>1.5</v>
      </c>
      <c r="D5" s="18">
        <f>C5*$D$3</f>
        <v>3000</v>
      </c>
      <c r="E5" s="10">
        <v>1.5</v>
      </c>
      <c r="F5" s="18">
        <f>E5*$D$3</f>
        <v>3000</v>
      </c>
      <c r="G5" s="2"/>
    </row>
    <row r="6" spans="1:7" x14ac:dyDescent="0.35">
      <c r="A6" s="9">
        <v>2</v>
      </c>
      <c r="B6" s="2" t="s">
        <v>5</v>
      </c>
      <c r="C6" s="10">
        <v>1.5</v>
      </c>
      <c r="D6" s="18">
        <f t="shared" ref="D6:D25" si="0">C6*$D$3</f>
        <v>3000</v>
      </c>
      <c r="E6" s="10">
        <v>1.5</v>
      </c>
      <c r="F6" s="18">
        <f t="shared" ref="F6:F29" si="1">E6*$D$3</f>
        <v>3000</v>
      </c>
      <c r="G6" s="2"/>
    </row>
    <row r="7" spans="1:7" x14ac:dyDescent="0.35">
      <c r="A7" s="9">
        <v>3</v>
      </c>
      <c r="B7" s="15" t="s">
        <v>129</v>
      </c>
      <c r="C7" s="10">
        <v>0.75</v>
      </c>
      <c r="D7" s="18">
        <f t="shared" si="0"/>
        <v>1500</v>
      </c>
      <c r="E7" s="10">
        <v>0.75</v>
      </c>
      <c r="F7" s="18">
        <f t="shared" si="1"/>
        <v>1500</v>
      </c>
      <c r="G7" s="2"/>
    </row>
    <row r="8" spans="1:7" x14ac:dyDescent="0.35">
      <c r="A8" s="9">
        <v>4</v>
      </c>
      <c r="B8" s="2" t="s">
        <v>130</v>
      </c>
      <c r="C8" s="10">
        <v>0.495</v>
      </c>
      <c r="D8" s="18">
        <f t="shared" si="0"/>
        <v>990</v>
      </c>
      <c r="E8" s="10">
        <v>0.495</v>
      </c>
      <c r="F8" s="18">
        <f t="shared" si="1"/>
        <v>990</v>
      </c>
      <c r="G8" s="2"/>
    </row>
    <row r="9" spans="1:7" x14ac:dyDescent="0.35">
      <c r="A9" s="9">
        <v>5</v>
      </c>
      <c r="B9" s="2" t="s">
        <v>131</v>
      </c>
      <c r="C9" s="10">
        <v>0.15</v>
      </c>
      <c r="D9" s="18">
        <f t="shared" si="0"/>
        <v>300</v>
      </c>
      <c r="E9" s="10">
        <v>0.15</v>
      </c>
      <c r="F9" s="18">
        <f t="shared" si="1"/>
        <v>300</v>
      </c>
      <c r="G9" s="2"/>
    </row>
    <row r="10" spans="1:7" x14ac:dyDescent="0.35">
      <c r="A10" s="9">
        <v>6</v>
      </c>
      <c r="B10" s="2" t="s">
        <v>132</v>
      </c>
      <c r="C10" s="10">
        <v>4.4999999999999998E-2</v>
      </c>
      <c r="D10" s="18">
        <f t="shared" si="0"/>
        <v>90</v>
      </c>
      <c r="E10" s="10">
        <v>4.4999999999999998E-2</v>
      </c>
      <c r="F10" s="18">
        <f t="shared" si="1"/>
        <v>90</v>
      </c>
      <c r="G10" s="2"/>
    </row>
    <row r="11" spans="1:7" x14ac:dyDescent="0.35">
      <c r="A11" s="9">
        <v>7</v>
      </c>
      <c r="B11" s="2" t="s">
        <v>133</v>
      </c>
      <c r="C11" s="10">
        <v>1.5</v>
      </c>
      <c r="D11" s="18">
        <f t="shared" si="0"/>
        <v>3000</v>
      </c>
      <c r="E11" s="10">
        <v>1.5</v>
      </c>
      <c r="F11" s="18">
        <f t="shared" si="1"/>
        <v>3000</v>
      </c>
      <c r="G11" s="2"/>
    </row>
    <row r="12" spans="1:7" x14ac:dyDescent="0.35">
      <c r="A12" s="9">
        <v>8</v>
      </c>
      <c r="B12" s="2" t="s">
        <v>134</v>
      </c>
      <c r="C12" s="10">
        <v>0.15</v>
      </c>
      <c r="D12" s="18">
        <f t="shared" si="0"/>
        <v>300</v>
      </c>
      <c r="E12" s="10">
        <v>0.15</v>
      </c>
      <c r="F12" s="18">
        <f t="shared" si="1"/>
        <v>300</v>
      </c>
      <c r="G12" s="2"/>
    </row>
    <row r="13" spans="1:7" x14ac:dyDescent="0.35">
      <c r="A13" s="9">
        <v>9</v>
      </c>
      <c r="B13" s="2" t="s">
        <v>135</v>
      </c>
      <c r="C13" s="10">
        <v>0.75</v>
      </c>
      <c r="D13" s="18">
        <f t="shared" si="0"/>
        <v>1500</v>
      </c>
      <c r="E13" s="10">
        <v>0.75</v>
      </c>
      <c r="F13" s="18">
        <f t="shared" si="1"/>
        <v>1500</v>
      </c>
      <c r="G13" s="2"/>
    </row>
    <row r="14" spans="1:7" x14ac:dyDescent="0.35">
      <c r="A14" s="9">
        <v>10</v>
      </c>
      <c r="B14" s="2" t="s">
        <v>64</v>
      </c>
      <c r="C14" s="10">
        <v>3</v>
      </c>
      <c r="D14" s="18">
        <f t="shared" si="0"/>
        <v>6000</v>
      </c>
      <c r="E14" s="10">
        <v>3</v>
      </c>
      <c r="F14" s="18">
        <f t="shared" si="1"/>
        <v>6000</v>
      </c>
      <c r="G14" s="2"/>
    </row>
    <row r="15" spans="1:7" x14ac:dyDescent="0.35">
      <c r="A15" s="9">
        <v>11</v>
      </c>
      <c r="B15" s="2" t="s">
        <v>136</v>
      </c>
      <c r="C15" s="10">
        <v>7.4999999999999997E-2</v>
      </c>
      <c r="D15" s="18">
        <f t="shared" si="0"/>
        <v>150</v>
      </c>
      <c r="E15" s="10">
        <v>7.4999999999999997E-2</v>
      </c>
      <c r="F15" s="18">
        <f t="shared" si="1"/>
        <v>150</v>
      </c>
      <c r="G15" s="2"/>
    </row>
    <row r="16" spans="1:7" x14ac:dyDescent="0.35">
      <c r="A16" s="9">
        <v>12</v>
      </c>
      <c r="B16" s="14" t="s">
        <v>22</v>
      </c>
      <c r="C16" s="10">
        <v>0.03</v>
      </c>
      <c r="D16" s="18">
        <f t="shared" si="0"/>
        <v>60</v>
      </c>
      <c r="E16" s="10">
        <v>0.03</v>
      </c>
      <c r="F16" s="18">
        <f t="shared" si="1"/>
        <v>60</v>
      </c>
      <c r="G16" s="2"/>
    </row>
    <row r="17" spans="1:8" x14ac:dyDescent="0.35">
      <c r="A17" s="9">
        <v>13</v>
      </c>
      <c r="B17" s="2" t="s">
        <v>21</v>
      </c>
      <c r="C17" s="10">
        <v>7.4999999999999997E-2</v>
      </c>
      <c r="D17" s="18">
        <f t="shared" si="0"/>
        <v>150</v>
      </c>
      <c r="E17" s="10">
        <v>7.4999999999999997E-2</v>
      </c>
      <c r="F17" s="18">
        <f t="shared" si="1"/>
        <v>150</v>
      </c>
      <c r="G17" s="2"/>
    </row>
    <row r="18" spans="1:8" x14ac:dyDescent="0.35">
      <c r="A18" s="9">
        <v>14</v>
      </c>
      <c r="B18" s="2" t="s">
        <v>137</v>
      </c>
      <c r="C18" s="10">
        <v>0.3</v>
      </c>
      <c r="D18" s="18">
        <f t="shared" si="0"/>
        <v>600</v>
      </c>
      <c r="E18" s="10">
        <v>0.3</v>
      </c>
      <c r="F18" s="18">
        <f t="shared" si="1"/>
        <v>600</v>
      </c>
      <c r="G18" s="2"/>
    </row>
    <row r="19" spans="1:8" x14ac:dyDescent="0.35">
      <c r="A19" s="9">
        <v>15</v>
      </c>
      <c r="B19" s="2" t="s">
        <v>138</v>
      </c>
      <c r="C19" s="10">
        <v>0.15</v>
      </c>
      <c r="D19" s="18">
        <f t="shared" si="0"/>
        <v>300</v>
      </c>
      <c r="E19" s="10">
        <v>0.15</v>
      </c>
      <c r="F19" s="18">
        <f t="shared" si="1"/>
        <v>300</v>
      </c>
      <c r="G19" s="2"/>
    </row>
    <row r="20" spans="1:8" x14ac:dyDescent="0.35">
      <c r="A20" s="9">
        <v>16</v>
      </c>
      <c r="B20" s="2" t="s">
        <v>47</v>
      </c>
      <c r="C20" s="10">
        <v>1.5</v>
      </c>
      <c r="D20" s="18">
        <f t="shared" si="0"/>
        <v>3000</v>
      </c>
      <c r="E20" s="10">
        <v>1.5</v>
      </c>
      <c r="F20" s="18">
        <f t="shared" si="1"/>
        <v>3000</v>
      </c>
      <c r="G20" s="2"/>
    </row>
    <row r="21" spans="1:8" ht="15" x14ac:dyDescent="0.35">
      <c r="A21" s="9">
        <v>17</v>
      </c>
      <c r="B21" s="16" t="s">
        <v>54</v>
      </c>
      <c r="C21" s="10">
        <v>7.4999999999999997E-2</v>
      </c>
      <c r="D21" s="18">
        <f t="shared" si="0"/>
        <v>150</v>
      </c>
      <c r="E21" s="10">
        <v>7.4999999999999997E-2</v>
      </c>
      <c r="F21" s="18">
        <f t="shared" si="1"/>
        <v>150</v>
      </c>
      <c r="G21" s="2"/>
    </row>
    <row r="22" spans="1:8" x14ac:dyDescent="0.35">
      <c r="A22" s="9">
        <v>18</v>
      </c>
      <c r="B22" s="2" t="s">
        <v>139</v>
      </c>
      <c r="C22" s="10">
        <v>4.4999999999999998E-2</v>
      </c>
      <c r="D22" s="18">
        <f t="shared" si="0"/>
        <v>90</v>
      </c>
      <c r="E22" s="10">
        <v>4.4999999999999998E-2</v>
      </c>
      <c r="F22" s="18">
        <f t="shared" si="1"/>
        <v>90</v>
      </c>
      <c r="G22" s="2"/>
    </row>
    <row r="23" spans="1:8" x14ac:dyDescent="0.35">
      <c r="A23" s="9">
        <v>19</v>
      </c>
      <c r="B23" s="2"/>
      <c r="C23" s="10"/>
      <c r="D23" s="18">
        <f t="shared" si="0"/>
        <v>0</v>
      </c>
      <c r="E23" s="10"/>
      <c r="F23" s="18">
        <f t="shared" si="1"/>
        <v>0</v>
      </c>
      <c r="G23" s="2"/>
    </row>
    <row r="24" spans="1:8" x14ac:dyDescent="0.35">
      <c r="A24" s="9">
        <v>20</v>
      </c>
      <c r="B24" s="2"/>
      <c r="C24" s="10"/>
      <c r="D24" s="18">
        <f t="shared" si="0"/>
        <v>0</v>
      </c>
      <c r="E24" s="10"/>
      <c r="F24" s="18">
        <f t="shared" si="1"/>
        <v>0</v>
      </c>
      <c r="G24" s="2"/>
    </row>
    <row r="25" spans="1:8" x14ac:dyDescent="0.35">
      <c r="A25" s="9">
        <v>21</v>
      </c>
      <c r="B25" s="2" t="s">
        <v>23</v>
      </c>
      <c r="C25" s="10">
        <v>2.91</v>
      </c>
      <c r="D25" s="18">
        <f t="shared" si="0"/>
        <v>5820</v>
      </c>
      <c r="E25" s="10">
        <v>3</v>
      </c>
      <c r="F25" s="18">
        <f t="shared" si="1"/>
        <v>6000</v>
      </c>
      <c r="G25" s="2" t="s">
        <v>385</v>
      </c>
    </row>
    <row r="26" spans="1:8" x14ac:dyDescent="0.35">
      <c r="A26" s="9"/>
      <c r="B26" s="5" t="s">
        <v>30</v>
      </c>
      <c r="C26" s="11">
        <f>SUM(C5:C25)</f>
        <v>14.999999999999998</v>
      </c>
      <c r="D26" s="12">
        <f>SUM(D5:D25)</f>
        <v>30000</v>
      </c>
      <c r="E26" s="11">
        <f>SUM(E5:E25)</f>
        <v>15.089999999999998</v>
      </c>
      <c r="F26" s="19">
        <f>SUM(F5:F25)</f>
        <v>30180</v>
      </c>
      <c r="G26" s="4">
        <v>30</v>
      </c>
      <c r="H26" s="1" t="s">
        <v>241</v>
      </c>
    </row>
    <row r="27" spans="1:8" x14ac:dyDescent="0.35">
      <c r="A27" s="9"/>
      <c r="B27" s="2" t="s">
        <v>141</v>
      </c>
      <c r="C27" s="2" t="s">
        <v>144</v>
      </c>
      <c r="D27" s="18"/>
      <c r="E27" s="2"/>
      <c r="F27" s="18">
        <f t="shared" si="1"/>
        <v>0</v>
      </c>
      <c r="G27" s="2">
        <v>100</v>
      </c>
      <c r="H27" s="1" t="s">
        <v>221</v>
      </c>
    </row>
    <row r="28" spans="1:8" x14ac:dyDescent="0.35">
      <c r="A28" s="9"/>
      <c r="B28" s="2" t="s">
        <v>142</v>
      </c>
      <c r="C28" s="2" t="s">
        <v>145</v>
      </c>
      <c r="D28" s="18"/>
      <c r="E28" s="2"/>
      <c r="F28" s="18">
        <f t="shared" si="1"/>
        <v>0</v>
      </c>
      <c r="G28" s="41">
        <f>F26-D26-G26-G27</f>
        <v>50</v>
      </c>
      <c r="H28" s="1" t="s">
        <v>239</v>
      </c>
    </row>
    <row r="29" spans="1:8" x14ac:dyDescent="0.35">
      <c r="A29" s="9"/>
      <c r="B29" s="2" t="s">
        <v>143</v>
      </c>
      <c r="C29" s="2" t="s">
        <v>146</v>
      </c>
      <c r="D29" s="18"/>
      <c r="E29" s="2"/>
      <c r="F29" s="18">
        <f t="shared" si="1"/>
        <v>0</v>
      </c>
      <c r="G29" s="2"/>
    </row>
    <row r="30" spans="1:8" x14ac:dyDescent="0.35">
      <c r="C30" s="46">
        <f>15-C26</f>
        <v>0</v>
      </c>
    </row>
  </sheetData>
  <mergeCells count="2">
    <mergeCell ref="A1:G1"/>
    <mergeCell ref="A2:G2"/>
  </mergeCells>
  <pageMargins left="0.11811023622047245" right="0.11811023622047245" top="0.74803149606299213" bottom="0.74803149606299213" header="0.31496062992125984" footer="0.31496062992125984"/>
  <pageSetup paperSize="9" scale="80" orientation="landscape" horizontalDpi="203" verticalDpi="20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5"/>
  <sheetViews>
    <sheetView showGridLines="0" topLeftCell="B6" workbookViewId="0">
      <selection activeCell="F20" sqref="F20"/>
    </sheetView>
  </sheetViews>
  <sheetFormatPr defaultColWidth="8.81640625" defaultRowHeight="14.5" x14ac:dyDescent="0.35"/>
  <cols>
    <col min="1" max="1" width="16.81640625" style="7" customWidth="1"/>
    <col min="2" max="2" width="68.1796875" style="1" customWidth="1"/>
    <col min="3" max="3" width="24.1796875" style="1" customWidth="1"/>
    <col min="4" max="6" width="15.1796875" style="1" customWidth="1"/>
    <col min="7" max="7" width="26.1796875" style="1" customWidth="1"/>
    <col min="8" max="16384" width="8.81640625" style="1"/>
  </cols>
  <sheetData>
    <row r="1" spans="1:7" ht="25.5" customHeight="1" x14ac:dyDescent="0.4">
      <c r="A1" s="57" t="s">
        <v>31</v>
      </c>
      <c r="B1" s="57"/>
      <c r="C1" s="57"/>
      <c r="D1" s="57"/>
      <c r="E1" s="57"/>
      <c r="F1" s="57"/>
      <c r="G1" s="57"/>
    </row>
    <row r="2" spans="1:7" x14ac:dyDescent="0.35">
      <c r="A2" s="58" t="s">
        <v>189</v>
      </c>
      <c r="B2" s="58"/>
      <c r="C2" s="58"/>
      <c r="D2" s="58"/>
      <c r="E2" s="58"/>
      <c r="F2" s="58"/>
      <c r="G2" s="58"/>
    </row>
    <row r="3" spans="1:7" s="7" customFormat="1" ht="27" customHeight="1" x14ac:dyDescent="0.35">
      <c r="A3" s="6" t="s">
        <v>0</v>
      </c>
      <c r="B3" s="6" t="s">
        <v>147</v>
      </c>
      <c r="C3" s="6" t="s">
        <v>29</v>
      </c>
      <c r="D3" s="6">
        <v>5000</v>
      </c>
      <c r="E3" s="6"/>
      <c r="F3" s="6">
        <f>D3*120+240+100</f>
        <v>600340</v>
      </c>
      <c r="G3" s="6"/>
    </row>
    <row r="4" spans="1:7" s="7" customFormat="1" ht="55.5" customHeight="1" x14ac:dyDescent="0.35">
      <c r="A4" s="8" t="s">
        <v>2</v>
      </c>
      <c r="B4" s="8" t="s">
        <v>6</v>
      </c>
      <c r="C4" s="8" t="s">
        <v>148</v>
      </c>
      <c r="D4" s="27" t="s">
        <v>235</v>
      </c>
      <c r="E4" s="27" t="s">
        <v>240</v>
      </c>
      <c r="F4" s="27" t="s">
        <v>232</v>
      </c>
      <c r="G4" s="27" t="s">
        <v>4</v>
      </c>
    </row>
    <row r="5" spans="1:7" x14ac:dyDescent="0.35">
      <c r="A5" s="9">
        <v>1</v>
      </c>
      <c r="B5" s="2" t="s">
        <v>16</v>
      </c>
      <c r="C5" s="10">
        <v>12</v>
      </c>
      <c r="D5" s="18">
        <f>C5*$D$3</f>
        <v>60000</v>
      </c>
      <c r="E5" s="22">
        <v>12</v>
      </c>
      <c r="F5" s="18">
        <f>E5*$D$3</f>
        <v>60000</v>
      </c>
      <c r="G5" s="2"/>
    </row>
    <row r="6" spans="1:7" x14ac:dyDescent="0.35">
      <c r="A6" s="9">
        <v>2</v>
      </c>
      <c r="B6" s="2" t="s">
        <v>149</v>
      </c>
      <c r="C6" s="10">
        <v>24</v>
      </c>
      <c r="D6" s="18">
        <f t="shared" ref="D6:D19" si="0">C6*$D$3</f>
        <v>120000</v>
      </c>
      <c r="E6" s="22">
        <v>24</v>
      </c>
      <c r="F6" s="18">
        <f t="shared" ref="F6:F25" si="1">E6*$D$3</f>
        <v>120000</v>
      </c>
      <c r="G6" s="2"/>
    </row>
    <row r="7" spans="1:7" x14ac:dyDescent="0.35">
      <c r="A7" s="9">
        <v>3</v>
      </c>
      <c r="B7" s="15" t="s">
        <v>59</v>
      </c>
      <c r="C7" s="10">
        <v>0.48</v>
      </c>
      <c r="D7" s="18">
        <f t="shared" si="0"/>
        <v>2400</v>
      </c>
      <c r="E7" s="22">
        <v>0.48</v>
      </c>
      <c r="F7" s="18">
        <f t="shared" si="1"/>
        <v>2400</v>
      </c>
      <c r="G7" s="2"/>
    </row>
    <row r="8" spans="1:7" x14ac:dyDescent="0.35">
      <c r="A8" s="9">
        <v>4</v>
      </c>
      <c r="B8" s="2" t="s">
        <v>150</v>
      </c>
      <c r="C8" s="10">
        <v>9.6000000000000002E-2</v>
      </c>
      <c r="D8" s="18">
        <f t="shared" si="0"/>
        <v>480</v>
      </c>
      <c r="E8" s="22">
        <v>9.6000000000000002E-2</v>
      </c>
      <c r="F8" s="18">
        <f t="shared" si="1"/>
        <v>480</v>
      </c>
      <c r="G8" s="2"/>
    </row>
    <row r="9" spans="1:7" x14ac:dyDescent="0.35">
      <c r="A9" s="9">
        <v>5</v>
      </c>
      <c r="B9" s="2" t="s">
        <v>151</v>
      </c>
      <c r="C9" s="10">
        <v>1.7999999999999998</v>
      </c>
      <c r="D9" s="18">
        <f t="shared" si="0"/>
        <v>9000</v>
      </c>
      <c r="E9" s="22">
        <v>1.7999999999999998</v>
      </c>
      <c r="F9" s="18">
        <f t="shared" si="1"/>
        <v>9000</v>
      </c>
      <c r="G9" s="2"/>
    </row>
    <row r="10" spans="1:7" x14ac:dyDescent="0.35">
      <c r="A10" s="9">
        <v>6</v>
      </c>
      <c r="B10" s="2" t="s">
        <v>152</v>
      </c>
      <c r="C10" s="10">
        <v>0.6</v>
      </c>
      <c r="D10" s="18">
        <f t="shared" si="0"/>
        <v>3000</v>
      </c>
      <c r="E10" s="22">
        <v>0.6</v>
      </c>
      <c r="F10" s="18">
        <f t="shared" si="1"/>
        <v>3000</v>
      </c>
      <c r="G10" s="2"/>
    </row>
    <row r="11" spans="1:7" x14ac:dyDescent="0.35">
      <c r="A11" s="9">
        <v>7</v>
      </c>
      <c r="B11" s="2" t="s">
        <v>47</v>
      </c>
      <c r="C11" s="10">
        <v>3.5999999999999996</v>
      </c>
      <c r="D11" s="18">
        <f t="shared" si="0"/>
        <v>18000</v>
      </c>
      <c r="E11" s="22">
        <v>3.5999999999999996</v>
      </c>
      <c r="F11" s="18">
        <f t="shared" si="1"/>
        <v>18000</v>
      </c>
      <c r="G11" s="2"/>
    </row>
    <row r="12" spans="1:7" x14ac:dyDescent="0.35">
      <c r="A12" s="9">
        <v>8</v>
      </c>
      <c r="B12" s="2" t="s">
        <v>65</v>
      </c>
      <c r="C12" s="10">
        <v>3.5999999999999997E-2</v>
      </c>
      <c r="D12" s="18">
        <f t="shared" si="0"/>
        <v>180</v>
      </c>
      <c r="E12" s="22">
        <v>3.5999999999999997E-2</v>
      </c>
      <c r="F12" s="18">
        <f t="shared" si="1"/>
        <v>180</v>
      </c>
      <c r="G12" s="2"/>
    </row>
    <row r="13" spans="1:7" x14ac:dyDescent="0.35">
      <c r="A13" s="9">
        <v>9</v>
      </c>
      <c r="B13" s="2" t="s">
        <v>153</v>
      </c>
      <c r="C13" s="10">
        <v>0.6</v>
      </c>
      <c r="D13" s="18">
        <f t="shared" si="0"/>
        <v>3000</v>
      </c>
      <c r="E13" s="22">
        <v>0.6</v>
      </c>
      <c r="F13" s="18">
        <f t="shared" si="1"/>
        <v>3000</v>
      </c>
      <c r="G13" s="2"/>
    </row>
    <row r="14" spans="1:7" x14ac:dyDescent="0.35">
      <c r="A14" s="9">
        <v>10</v>
      </c>
      <c r="B14" s="2" t="s">
        <v>116</v>
      </c>
      <c r="C14" s="10">
        <v>0.24</v>
      </c>
      <c r="D14" s="18">
        <f t="shared" si="0"/>
        <v>1200</v>
      </c>
      <c r="E14" s="22">
        <v>0.24</v>
      </c>
      <c r="F14" s="18">
        <f t="shared" si="1"/>
        <v>1200</v>
      </c>
      <c r="G14" s="2"/>
    </row>
    <row r="15" spans="1:7" x14ac:dyDescent="0.35">
      <c r="A15" s="9">
        <v>11</v>
      </c>
      <c r="B15" s="2" t="s">
        <v>51</v>
      </c>
      <c r="C15" s="10">
        <v>2.4</v>
      </c>
      <c r="D15" s="18">
        <f t="shared" si="0"/>
        <v>12000</v>
      </c>
      <c r="E15" s="22">
        <v>2.4</v>
      </c>
      <c r="F15" s="18">
        <f t="shared" si="1"/>
        <v>12000</v>
      </c>
      <c r="G15" s="2"/>
    </row>
    <row r="16" spans="1:7" x14ac:dyDescent="0.35">
      <c r="A16" s="9">
        <v>12</v>
      </c>
      <c r="B16" s="14" t="s">
        <v>52</v>
      </c>
      <c r="C16" s="10">
        <v>0.6</v>
      </c>
      <c r="D16" s="18">
        <f t="shared" si="0"/>
        <v>3000</v>
      </c>
      <c r="E16" s="22">
        <v>0.6</v>
      </c>
      <c r="F16" s="18">
        <f t="shared" si="1"/>
        <v>3000</v>
      </c>
      <c r="G16" s="2"/>
    </row>
    <row r="17" spans="1:8" x14ac:dyDescent="0.35">
      <c r="A17" s="9">
        <v>13</v>
      </c>
      <c r="B17" s="2" t="s">
        <v>69</v>
      </c>
      <c r="C17" s="10">
        <v>0.36</v>
      </c>
      <c r="D17" s="18">
        <f t="shared" si="0"/>
        <v>1800</v>
      </c>
      <c r="E17" s="22">
        <v>0.36</v>
      </c>
      <c r="F17" s="18">
        <f t="shared" si="1"/>
        <v>1800</v>
      </c>
      <c r="G17" s="2"/>
    </row>
    <row r="18" spans="1:8" x14ac:dyDescent="0.35">
      <c r="A18" s="9">
        <v>14</v>
      </c>
      <c r="B18" s="2" t="s">
        <v>54</v>
      </c>
      <c r="C18" s="10">
        <v>0.6</v>
      </c>
      <c r="D18" s="18">
        <f t="shared" si="0"/>
        <v>3000</v>
      </c>
      <c r="E18" s="22">
        <v>0.6</v>
      </c>
      <c r="F18" s="18">
        <f t="shared" si="1"/>
        <v>3000</v>
      </c>
      <c r="G18" s="2"/>
    </row>
    <row r="19" spans="1:8" x14ac:dyDescent="0.35">
      <c r="A19" s="9">
        <v>15</v>
      </c>
      <c r="B19" s="2" t="s">
        <v>154</v>
      </c>
      <c r="C19" s="10">
        <v>72.587999999999994</v>
      </c>
      <c r="D19" s="18">
        <f t="shared" si="0"/>
        <v>362939.99999999994</v>
      </c>
      <c r="E19" s="18">
        <v>73</v>
      </c>
      <c r="F19" s="18">
        <f>E19*$D$3</f>
        <v>365000</v>
      </c>
      <c r="G19" s="2" t="s">
        <v>391</v>
      </c>
    </row>
    <row r="20" spans="1:8" x14ac:dyDescent="0.35">
      <c r="A20" s="9"/>
      <c r="B20" s="5" t="s">
        <v>30</v>
      </c>
      <c r="C20" s="12">
        <f>SUM(C5:C19)</f>
        <v>120</v>
      </c>
      <c r="D20" s="12">
        <f>SUM(D5:D19)</f>
        <v>600000</v>
      </c>
      <c r="E20" s="12">
        <f>SUM(E5:E19)</f>
        <v>120.41200000000001</v>
      </c>
      <c r="F20" s="12">
        <f>SUM(F5:F19)</f>
        <v>602060</v>
      </c>
      <c r="G20" s="4">
        <v>240</v>
      </c>
      <c r="H20" s="1" t="s">
        <v>222</v>
      </c>
    </row>
    <row r="21" spans="1:8" x14ac:dyDescent="0.35">
      <c r="A21" s="9"/>
      <c r="B21" s="2" t="s">
        <v>214</v>
      </c>
      <c r="C21" s="2">
        <v>1</v>
      </c>
      <c r="D21" s="18"/>
      <c r="E21" s="10"/>
      <c r="F21" s="18">
        <f t="shared" si="1"/>
        <v>0</v>
      </c>
      <c r="G21" s="2">
        <v>100</v>
      </c>
      <c r="H21" s="1" t="s">
        <v>221</v>
      </c>
    </row>
    <row r="22" spans="1:8" x14ac:dyDescent="0.35">
      <c r="A22" s="9"/>
      <c r="B22" s="2" t="s">
        <v>186</v>
      </c>
      <c r="C22" s="2">
        <v>1</v>
      </c>
      <c r="D22" s="18"/>
      <c r="E22" s="10"/>
      <c r="F22" s="18">
        <f t="shared" si="1"/>
        <v>0</v>
      </c>
      <c r="G22" s="41">
        <f>F20-D20-G20-G21</f>
        <v>1720</v>
      </c>
      <c r="H22" s="1" t="s">
        <v>239</v>
      </c>
    </row>
    <row r="23" spans="1:8" x14ac:dyDescent="0.35">
      <c r="A23" s="9"/>
      <c r="B23" s="2" t="s">
        <v>25</v>
      </c>
      <c r="C23" s="2" t="s">
        <v>156</v>
      </c>
      <c r="D23" s="18"/>
      <c r="E23" s="10"/>
      <c r="F23" s="18">
        <f t="shared" si="1"/>
        <v>0</v>
      </c>
      <c r="G23" s="2"/>
    </row>
    <row r="24" spans="1:8" x14ac:dyDescent="0.35">
      <c r="A24" s="9"/>
      <c r="B24" s="2" t="s">
        <v>155</v>
      </c>
      <c r="C24" s="2" t="s">
        <v>157</v>
      </c>
      <c r="D24" s="18"/>
      <c r="E24" s="10"/>
      <c r="F24" s="18">
        <f t="shared" si="1"/>
        <v>0</v>
      </c>
      <c r="G24" s="2"/>
    </row>
    <row r="25" spans="1:8" x14ac:dyDescent="0.35">
      <c r="A25" s="9"/>
      <c r="B25" s="2" t="s">
        <v>24</v>
      </c>
      <c r="C25" s="2" t="s">
        <v>158</v>
      </c>
      <c r="D25" s="18"/>
      <c r="E25" s="10"/>
      <c r="F25" s="18">
        <f t="shared" si="1"/>
        <v>0</v>
      </c>
      <c r="G25" s="2"/>
    </row>
  </sheetData>
  <mergeCells count="2">
    <mergeCell ref="A1:G1"/>
    <mergeCell ref="A2:G2"/>
  </mergeCells>
  <pageMargins left="0.51181102362204722" right="0.11811023622047245" top="0.74803149606299213" bottom="0.74803149606299213" header="0.31496062992125984" footer="0.31496062992125984"/>
  <pageSetup paperSize="9" scale="80" orientation="landscape"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9"/>
  <sheetViews>
    <sheetView showGridLines="0" topLeftCell="A31" zoomScale="70" zoomScaleNormal="70" workbookViewId="0">
      <selection activeCell="H35" sqref="H35"/>
    </sheetView>
  </sheetViews>
  <sheetFormatPr defaultColWidth="8.81640625" defaultRowHeight="14.5" x14ac:dyDescent="0.35"/>
  <cols>
    <col min="1" max="1" width="16.81640625" style="7" customWidth="1"/>
    <col min="2" max="2" width="68.1796875" style="1" customWidth="1"/>
    <col min="3" max="3" width="21.1796875" style="1" customWidth="1"/>
    <col min="4" max="4" width="19.08984375" style="20" customWidth="1"/>
    <col min="5" max="6" width="19.08984375" style="1" customWidth="1"/>
    <col min="7" max="7" width="19.81640625" style="1" customWidth="1"/>
    <col min="8" max="16384" width="8.81640625" style="1"/>
  </cols>
  <sheetData>
    <row r="1" spans="1:7" ht="25.5" customHeight="1" x14ac:dyDescent="0.4">
      <c r="A1" s="57" t="s">
        <v>31</v>
      </c>
      <c r="B1" s="57"/>
      <c r="C1" s="57"/>
      <c r="D1" s="57"/>
      <c r="E1" s="57"/>
      <c r="F1" s="57"/>
      <c r="G1" s="57"/>
    </row>
    <row r="2" spans="1:7" x14ac:dyDescent="0.35">
      <c r="A2" s="58" t="s">
        <v>188</v>
      </c>
      <c r="B2" s="58"/>
      <c r="C2" s="58"/>
      <c r="D2" s="58"/>
      <c r="E2" s="58"/>
      <c r="F2" s="58"/>
      <c r="G2" s="58"/>
    </row>
    <row r="3" spans="1:7" s="7" customFormat="1" ht="27" customHeight="1" x14ac:dyDescent="0.35">
      <c r="A3" s="6" t="s">
        <v>0</v>
      </c>
      <c r="B3" s="6" t="s">
        <v>161</v>
      </c>
      <c r="C3" s="6" t="s">
        <v>159</v>
      </c>
      <c r="D3" s="17">
        <v>200</v>
      </c>
      <c r="E3" s="6"/>
      <c r="F3" s="6"/>
      <c r="G3" s="6">
        <f>200*200+400+100</f>
        <v>40500</v>
      </c>
    </row>
    <row r="4" spans="1:7" s="7" customFormat="1" ht="55.5" customHeight="1" x14ac:dyDescent="0.35">
      <c r="A4" s="8" t="s">
        <v>2</v>
      </c>
      <c r="B4" s="8" t="s">
        <v>6</v>
      </c>
      <c r="C4" s="8" t="s">
        <v>160</v>
      </c>
      <c r="D4" s="27" t="s">
        <v>235</v>
      </c>
      <c r="E4" s="27" t="s">
        <v>243</v>
      </c>
      <c r="F4" s="27" t="s">
        <v>232</v>
      </c>
      <c r="G4" s="27" t="s">
        <v>4</v>
      </c>
    </row>
    <row r="5" spans="1:7" x14ac:dyDescent="0.35">
      <c r="A5" s="9">
        <v>1</v>
      </c>
      <c r="B5" s="2" t="s">
        <v>75</v>
      </c>
      <c r="C5" s="10">
        <v>20</v>
      </c>
      <c r="D5" s="18">
        <f>C5*$D$3</f>
        <v>4000</v>
      </c>
      <c r="E5" s="10">
        <v>20</v>
      </c>
      <c r="F5" s="18">
        <f>E5*$D$3</f>
        <v>4000</v>
      </c>
      <c r="G5" s="2"/>
    </row>
    <row r="6" spans="1:7" x14ac:dyDescent="0.35">
      <c r="A6" s="9">
        <v>2</v>
      </c>
      <c r="B6" s="2" t="s">
        <v>91</v>
      </c>
      <c r="C6" s="10">
        <v>20</v>
      </c>
      <c r="D6" s="18">
        <f t="shared" ref="D6:D22" si="0">C6*$D$3</f>
        <v>4000</v>
      </c>
      <c r="E6" s="10">
        <v>20</v>
      </c>
      <c r="F6" s="18">
        <f t="shared" ref="F6:F22" si="1">E6*$D$3</f>
        <v>4000</v>
      </c>
      <c r="G6" s="2"/>
    </row>
    <row r="7" spans="1:7" x14ac:dyDescent="0.35">
      <c r="A7" s="9">
        <v>3</v>
      </c>
      <c r="B7" s="15" t="s">
        <v>162</v>
      </c>
      <c r="C7" s="10">
        <v>6</v>
      </c>
      <c r="D7" s="18">
        <f t="shared" si="0"/>
        <v>1200</v>
      </c>
      <c r="E7" s="10">
        <v>6</v>
      </c>
      <c r="F7" s="18">
        <f t="shared" si="1"/>
        <v>1200</v>
      </c>
      <c r="G7" s="2"/>
    </row>
    <row r="8" spans="1:7" x14ac:dyDescent="0.35">
      <c r="A8" s="9">
        <v>4</v>
      </c>
      <c r="B8" s="2" t="s">
        <v>113</v>
      </c>
      <c r="C8" s="10">
        <v>6</v>
      </c>
      <c r="D8" s="18">
        <f t="shared" si="0"/>
        <v>1200</v>
      </c>
      <c r="E8" s="10">
        <v>6</v>
      </c>
      <c r="F8" s="18">
        <f t="shared" si="1"/>
        <v>1200</v>
      </c>
      <c r="G8" s="2"/>
    </row>
    <row r="9" spans="1:7" x14ac:dyDescent="0.35">
      <c r="A9" s="9">
        <v>5</v>
      </c>
      <c r="B9" s="2" t="s">
        <v>163</v>
      </c>
      <c r="C9" s="10">
        <v>6</v>
      </c>
      <c r="D9" s="18">
        <f t="shared" si="0"/>
        <v>1200</v>
      </c>
      <c r="E9" s="10">
        <v>6</v>
      </c>
      <c r="F9" s="18">
        <f t="shared" si="1"/>
        <v>1200</v>
      </c>
      <c r="G9" s="2"/>
    </row>
    <row r="10" spans="1:7" x14ac:dyDescent="0.35">
      <c r="A10" s="9">
        <v>6</v>
      </c>
      <c r="B10" s="2" t="s">
        <v>92</v>
      </c>
      <c r="C10" s="10">
        <v>1.6</v>
      </c>
      <c r="D10" s="18">
        <f t="shared" si="0"/>
        <v>320</v>
      </c>
      <c r="E10" s="10">
        <v>1.6</v>
      </c>
      <c r="F10" s="18">
        <f t="shared" si="1"/>
        <v>320</v>
      </c>
      <c r="G10" s="2"/>
    </row>
    <row r="11" spans="1:7" x14ac:dyDescent="0.35">
      <c r="A11" s="9">
        <v>7</v>
      </c>
      <c r="B11" s="2" t="s">
        <v>164</v>
      </c>
      <c r="C11" s="10">
        <v>1</v>
      </c>
      <c r="D11" s="18">
        <f t="shared" si="0"/>
        <v>200</v>
      </c>
      <c r="E11" s="10">
        <v>1</v>
      </c>
      <c r="F11" s="18">
        <f t="shared" si="1"/>
        <v>200</v>
      </c>
      <c r="G11" s="2"/>
    </row>
    <row r="12" spans="1:7" x14ac:dyDescent="0.35">
      <c r="A12" s="9">
        <v>8</v>
      </c>
      <c r="B12" s="2" t="s">
        <v>140</v>
      </c>
      <c r="C12" s="10">
        <v>1</v>
      </c>
      <c r="D12" s="18">
        <f t="shared" si="0"/>
        <v>200</v>
      </c>
      <c r="E12" s="10">
        <v>1</v>
      </c>
      <c r="F12" s="18">
        <f t="shared" si="1"/>
        <v>200</v>
      </c>
      <c r="G12" s="2"/>
    </row>
    <row r="13" spans="1:7" x14ac:dyDescent="0.35">
      <c r="A13" s="9">
        <v>9</v>
      </c>
      <c r="B13" s="2" t="s">
        <v>165</v>
      </c>
      <c r="C13" s="10">
        <v>1</v>
      </c>
      <c r="D13" s="18">
        <f t="shared" si="0"/>
        <v>200</v>
      </c>
      <c r="E13" s="10">
        <v>1</v>
      </c>
      <c r="F13" s="18">
        <f t="shared" si="1"/>
        <v>200</v>
      </c>
      <c r="G13" s="2"/>
    </row>
    <row r="14" spans="1:7" x14ac:dyDescent="0.35">
      <c r="A14" s="9">
        <v>10</v>
      </c>
      <c r="B14" s="2" t="s">
        <v>107</v>
      </c>
      <c r="C14" s="10">
        <v>1</v>
      </c>
      <c r="D14" s="18">
        <f t="shared" si="0"/>
        <v>200</v>
      </c>
      <c r="E14" s="10">
        <v>1</v>
      </c>
      <c r="F14" s="18">
        <f t="shared" si="1"/>
        <v>200</v>
      </c>
      <c r="G14" s="2"/>
    </row>
    <row r="15" spans="1:7" x14ac:dyDescent="0.35">
      <c r="A15" s="9">
        <v>11</v>
      </c>
      <c r="B15" s="2" t="s">
        <v>166</v>
      </c>
      <c r="C15" s="10">
        <v>0.1</v>
      </c>
      <c r="D15" s="18">
        <f t="shared" si="0"/>
        <v>20</v>
      </c>
      <c r="E15" s="10">
        <v>0.1</v>
      </c>
      <c r="F15" s="18">
        <f t="shared" si="1"/>
        <v>20</v>
      </c>
      <c r="G15" s="2"/>
    </row>
    <row r="16" spans="1:7" x14ac:dyDescent="0.35">
      <c r="A16" s="9">
        <v>12</v>
      </c>
      <c r="B16" s="14" t="s">
        <v>124</v>
      </c>
      <c r="C16" s="10">
        <v>0.1</v>
      </c>
      <c r="D16" s="18">
        <f t="shared" si="0"/>
        <v>20</v>
      </c>
      <c r="E16" s="10">
        <v>0.1</v>
      </c>
      <c r="F16" s="18">
        <f t="shared" si="1"/>
        <v>20</v>
      </c>
      <c r="G16" s="2"/>
    </row>
    <row r="17" spans="1:8" x14ac:dyDescent="0.35">
      <c r="A17" s="9">
        <v>13</v>
      </c>
      <c r="B17" s="2" t="s">
        <v>21</v>
      </c>
      <c r="C17" s="10">
        <v>1</v>
      </c>
      <c r="D17" s="18">
        <f t="shared" si="0"/>
        <v>200</v>
      </c>
      <c r="E17" s="10">
        <v>1</v>
      </c>
      <c r="F17" s="18">
        <f t="shared" si="1"/>
        <v>200</v>
      </c>
      <c r="G17" s="2"/>
    </row>
    <row r="18" spans="1:8" x14ac:dyDescent="0.35">
      <c r="A18" s="9">
        <v>14</v>
      </c>
      <c r="B18" s="2" t="s">
        <v>167</v>
      </c>
      <c r="C18" s="10">
        <v>1</v>
      </c>
      <c r="D18" s="18">
        <f t="shared" si="0"/>
        <v>200</v>
      </c>
      <c r="E18" s="10">
        <v>1</v>
      </c>
      <c r="F18" s="18">
        <f t="shared" si="1"/>
        <v>200</v>
      </c>
      <c r="G18" s="2"/>
    </row>
    <row r="19" spans="1:8" x14ac:dyDescent="0.35">
      <c r="A19" s="9">
        <v>15</v>
      </c>
      <c r="B19" s="2" t="s">
        <v>168</v>
      </c>
      <c r="C19" s="10">
        <v>1</v>
      </c>
      <c r="D19" s="18">
        <f t="shared" si="0"/>
        <v>200</v>
      </c>
      <c r="E19" s="10">
        <v>1</v>
      </c>
      <c r="F19" s="18">
        <f t="shared" si="1"/>
        <v>200</v>
      </c>
      <c r="G19" s="2"/>
    </row>
    <row r="20" spans="1:8" x14ac:dyDescent="0.35">
      <c r="A20" s="9">
        <v>16</v>
      </c>
      <c r="B20" s="2" t="s">
        <v>54</v>
      </c>
      <c r="C20" s="10">
        <v>1</v>
      </c>
      <c r="D20" s="18">
        <f t="shared" si="0"/>
        <v>200</v>
      </c>
      <c r="E20" s="10">
        <v>1</v>
      </c>
      <c r="F20" s="18">
        <f t="shared" si="1"/>
        <v>200</v>
      </c>
      <c r="G20" s="2" t="s">
        <v>397</v>
      </c>
    </row>
    <row r="21" spans="1:8" x14ac:dyDescent="0.35">
      <c r="A21" s="9">
        <v>17</v>
      </c>
      <c r="B21" s="2" t="s">
        <v>23</v>
      </c>
      <c r="C21" s="10">
        <v>132.19999999999999</v>
      </c>
      <c r="D21" s="18">
        <f t="shared" si="0"/>
        <v>26439.999999999996</v>
      </c>
      <c r="E21" s="10">
        <v>135</v>
      </c>
      <c r="F21" s="18">
        <f t="shared" si="1"/>
        <v>27000</v>
      </c>
      <c r="G21" s="2">
        <v>400</v>
      </c>
      <c r="H21" s="1" t="s">
        <v>222</v>
      </c>
    </row>
    <row r="22" spans="1:8" x14ac:dyDescent="0.35">
      <c r="A22" s="9">
        <v>18</v>
      </c>
      <c r="B22" s="2"/>
      <c r="C22" s="10"/>
      <c r="D22" s="18">
        <f t="shared" si="0"/>
        <v>0</v>
      </c>
      <c r="E22" s="10"/>
      <c r="F22" s="18">
        <f t="shared" si="1"/>
        <v>0</v>
      </c>
      <c r="G22" s="2">
        <v>100</v>
      </c>
      <c r="H22" s="1" t="s">
        <v>221</v>
      </c>
    </row>
    <row r="23" spans="1:8" x14ac:dyDescent="0.35">
      <c r="A23" s="9"/>
      <c r="B23" s="5" t="s">
        <v>30</v>
      </c>
      <c r="C23" s="12">
        <f>SUM(C5:C22)</f>
        <v>200</v>
      </c>
      <c r="D23" s="12">
        <f>SUM(D5:D22)</f>
        <v>40000</v>
      </c>
      <c r="E23" s="12">
        <f>SUM(E5:E22)</f>
        <v>202.8</v>
      </c>
      <c r="F23" s="12">
        <f>SUM(F5:F22)</f>
        <v>40560</v>
      </c>
      <c r="G23" s="12">
        <f>F23-D23-G21-G22</f>
        <v>60</v>
      </c>
      <c r="H23" s="1" t="s">
        <v>239</v>
      </c>
    </row>
    <row r="24" spans="1:8" x14ac:dyDescent="0.35">
      <c r="A24" s="9"/>
      <c r="B24" s="2" t="s">
        <v>203</v>
      </c>
      <c r="C24" s="2">
        <v>1</v>
      </c>
      <c r="D24" s="18"/>
      <c r="E24" s="2"/>
      <c r="F24" s="2"/>
      <c r="G24" s="2"/>
    </row>
    <row r="25" spans="1:8" x14ac:dyDescent="0.35">
      <c r="A25" s="9"/>
      <c r="B25" s="2" t="s">
        <v>216</v>
      </c>
      <c r="C25" s="2">
        <v>1</v>
      </c>
      <c r="D25" s="18"/>
      <c r="E25" s="2"/>
      <c r="F25" s="2"/>
      <c r="G25" s="2"/>
    </row>
    <row r="26" spans="1:8" x14ac:dyDescent="0.35">
      <c r="A26" s="9"/>
      <c r="B26" s="2" t="s">
        <v>215</v>
      </c>
      <c r="C26" s="2">
        <v>1</v>
      </c>
      <c r="D26" s="18"/>
      <c r="E26" s="2"/>
      <c r="F26" s="2"/>
      <c r="G26" s="2"/>
    </row>
    <row r="27" spans="1:8" x14ac:dyDescent="0.35">
      <c r="A27" s="9"/>
      <c r="B27" s="2"/>
      <c r="C27" s="2"/>
      <c r="D27" s="18"/>
      <c r="E27" s="2"/>
      <c r="F27" s="2"/>
      <c r="G27" s="2"/>
    </row>
    <row r="28" spans="1:8" x14ac:dyDescent="0.35">
      <c r="A28" s="9"/>
      <c r="B28" s="2" t="s">
        <v>25</v>
      </c>
      <c r="C28" s="2" t="s">
        <v>146</v>
      </c>
      <c r="D28" s="18"/>
      <c r="E28" s="2"/>
      <c r="F28" s="2"/>
      <c r="G28" s="2" t="s">
        <v>170</v>
      </c>
    </row>
    <row r="29" spans="1:8" x14ac:dyDescent="0.35">
      <c r="A29" s="9"/>
      <c r="B29" s="2" t="s">
        <v>155</v>
      </c>
      <c r="C29" s="2" t="s">
        <v>171</v>
      </c>
      <c r="D29" s="18"/>
      <c r="E29" s="2"/>
      <c r="F29" s="2"/>
      <c r="G29" s="2" t="s">
        <v>170</v>
      </c>
    </row>
    <row r="30" spans="1:8" x14ac:dyDescent="0.35">
      <c r="A30" s="9"/>
      <c r="B30" s="2" t="s">
        <v>24</v>
      </c>
      <c r="C30" s="2" t="s">
        <v>169</v>
      </c>
      <c r="D30" s="18"/>
      <c r="E30" s="2"/>
      <c r="F30" s="2"/>
      <c r="G30" s="2" t="s">
        <v>170</v>
      </c>
    </row>
    <row r="34" spans="1:7" s="7" customFormat="1" ht="27" customHeight="1" x14ac:dyDescent="0.35">
      <c r="A34" s="6" t="s">
        <v>0</v>
      </c>
      <c r="B34" s="6" t="s">
        <v>172</v>
      </c>
      <c r="C34" s="6" t="s">
        <v>159</v>
      </c>
      <c r="D34" s="17">
        <v>200</v>
      </c>
      <c r="E34" s="6"/>
      <c r="F34" s="6"/>
      <c r="G34" s="32">
        <f>D34*50+100+100</f>
        <v>10200</v>
      </c>
    </row>
    <row r="35" spans="1:7" s="7" customFormat="1" ht="55.5" customHeight="1" x14ac:dyDescent="0.35">
      <c r="A35" s="8" t="s">
        <v>2</v>
      </c>
      <c r="B35" s="8" t="s">
        <v>6</v>
      </c>
      <c r="C35" s="8" t="s">
        <v>73</v>
      </c>
      <c r="D35" s="27" t="s">
        <v>235</v>
      </c>
      <c r="E35" s="27" t="s">
        <v>242</v>
      </c>
      <c r="F35" s="27" t="s">
        <v>232</v>
      </c>
      <c r="G35" s="27" t="s">
        <v>4</v>
      </c>
    </row>
    <row r="36" spans="1:7" x14ac:dyDescent="0.35">
      <c r="A36" s="9">
        <v>1</v>
      </c>
      <c r="B36" s="2" t="s">
        <v>74</v>
      </c>
      <c r="C36" s="10">
        <v>5</v>
      </c>
      <c r="D36" s="18">
        <f>C36*$D$34</f>
        <v>1000</v>
      </c>
      <c r="E36" s="10">
        <v>5</v>
      </c>
      <c r="F36" s="18">
        <f>E36*$D$34</f>
        <v>1000</v>
      </c>
      <c r="G36" s="2"/>
    </row>
    <row r="37" spans="1:7" x14ac:dyDescent="0.35">
      <c r="A37" s="9">
        <v>2</v>
      </c>
      <c r="B37" s="2" t="s">
        <v>14</v>
      </c>
      <c r="C37" s="10">
        <v>5</v>
      </c>
      <c r="D37" s="18">
        <f t="shared" ref="D37:D59" si="2">C37*$D$34</f>
        <v>1000</v>
      </c>
      <c r="E37" s="10">
        <v>5</v>
      </c>
      <c r="F37" s="18">
        <f t="shared" ref="F37:F53" si="3">E37*$D$34</f>
        <v>1000</v>
      </c>
      <c r="G37" s="2"/>
    </row>
    <row r="38" spans="1:7" x14ac:dyDescent="0.35">
      <c r="A38" s="9">
        <v>3</v>
      </c>
      <c r="B38" s="15" t="s">
        <v>75</v>
      </c>
      <c r="C38" s="10">
        <v>2.5</v>
      </c>
      <c r="D38" s="18">
        <f t="shared" si="2"/>
        <v>500</v>
      </c>
      <c r="E38" s="10">
        <v>2.5</v>
      </c>
      <c r="F38" s="18">
        <f t="shared" si="3"/>
        <v>500</v>
      </c>
      <c r="G38" s="2"/>
    </row>
    <row r="39" spans="1:7" x14ac:dyDescent="0.35">
      <c r="A39" s="9">
        <v>4</v>
      </c>
      <c r="B39" s="2" t="s">
        <v>173</v>
      </c>
      <c r="C39" s="10">
        <v>2.5</v>
      </c>
      <c r="D39" s="18">
        <f t="shared" si="2"/>
        <v>500</v>
      </c>
      <c r="E39" s="10">
        <v>2.5</v>
      </c>
      <c r="F39" s="18">
        <f t="shared" si="3"/>
        <v>500</v>
      </c>
      <c r="G39" s="2"/>
    </row>
    <row r="40" spans="1:7" x14ac:dyDescent="0.35">
      <c r="A40" s="9">
        <v>5</v>
      </c>
      <c r="B40" s="2" t="s">
        <v>77</v>
      </c>
      <c r="C40" s="10">
        <v>2.5</v>
      </c>
      <c r="D40" s="18">
        <f t="shared" si="2"/>
        <v>500</v>
      </c>
      <c r="E40" s="10">
        <v>2.5</v>
      </c>
      <c r="F40" s="18">
        <f t="shared" si="3"/>
        <v>500</v>
      </c>
      <c r="G40" s="2"/>
    </row>
    <row r="41" spans="1:7" x14ac:dyDescent="0.35">
      <c r="A41" s="9">
        <v>6</v>
      </c>
      <c r="B41" s="2" t="s">
        <v>80</v>
      </c>
      <c r="C41" s="10">
        <v>2.5</v>
      </c>
      <c r="D41" s="18">
        <f t="shared" si="2"/>
        <v>500</v>
      </c>
      <c r="E41" s="10">
        <v>2.5</v>
      </c>
      <c r="F41" s="18">
        <f t="shared" si="3"/>
        <v>500</v>
      </c>
      <c r="G41" s="2"/>
    </row>
    <row r="42" spans="1:7" x14ac:dyDescent="0.35">
      <c r="A42" s="9">
        <v>7</v>
      </c>
      <c r="B42" s="2" t="s">
        <v>174</v>
      </c>
      <c r="C42" s="10">
        <v>2.5</v>
      </c>
      <c r="D42" s="18">
        <f t="shared" si="2"/>
        <v>500</v>
      </c>
      <c r="E42" s="10">
        <v>2.5</v>
      </c>
      <c r="F42" s="18">
        <f t="shared" si="3"/>
        <v>500</v>
      </c>
      <c r="G42" s="2"/>
    </row>
    <row r="43" spans="1:7" x14ac:dyDescent="0.35">
      <c r="A43" s="9">
        <v>8</v>
      </c>
      <c r="B43" s="2" t="s">
        <v>79</v>
      </c>
      <c r="C43" s="10">
        <v>1.5</v>
      </c>
      <c r="D43" s="18">
        <f t="shared" si="2"/>
        <v>300</v>
      </c>
      <c r="E43" s="10">
        <v>1.5</v>
      </c>
      <c r="F43" s="18">
        <f t="shared" si="3"/>
        <v>300</v>
      </c>
      <c r="G43" s="2"/>
    </row>
    <row r="44" spans="1:7" x14ac:dyDescent="0.35">
      <c r="A44" s="9">
        <v>9</v>
      </c>
      <c r="B44" s="2" t="s">
        <v>175</v>
      </c>
      <c r="C44" s="10">
        <v>1</v>
      </c>
      <c r="D44" s="18">
        <f t="shared" si="2"/>
        <v>200</v>
      </c>
      <c r="E44" s="10">
        <v>1</v>
      </c>
      <c r="F44" s="18">
        <f t="shared" si="3"/>
        <v>200</v>
      </c>
      <c r="G44" s="2"/>
    </row>
    <row r="45" spans="1:7" x14ac:dyDescent="0.35">
      <c r="A45" s="9">
        <v>10</v>
      </c>
      <c r="B45" s="2" t="s">
        <v>9</v>
      </c>
      <c r="C45" s="10">
        <v>1.5</v>
      </c>
      <c r="D45" s="18">
        <f t="shared" si="2"/>
        <v>300</v>
      </c>
      <c r="E45" s="10">
        <v>1.5</v>
      </c>
      <c r="F45" s="18">
        <f t="shared" si="3"/>
        <v>300</v>
      </c>
      <c r="G45" s="2"/>
    </row>
    <row r="46" spans="1:7" x14ac:dyDescent="0.35">
      <c r="A46" s="9">
        <v>11</v>
      </c>
      <c r="B46" s="2" t="s">
        <v>104</v>
      </c>
      <c r="C46" s="10">
        <v>0.5</v>
      </c>
      <c r="D46" s="18">
        <f t="shared" si="2"/>
        <v>100</v>
      </c>
      <c r="E46" s="10">
        <v>0.5</v>
      </c>
      <c r="F46" s="18">
        <f t="shared" si="3"/>
        <v>100</v>
      </c>
      <c r="G46" s="2"/>
    </row>
    <row r="47" spans="1:7" x14ac:dyDescent="0.35">
      <c r="A47" s="9">
        <v>12</v>
      </c>
      <c r="B47" s="14" t="s">
        <v>124</v>
      </c>
      <c r="C47" s="10">
        <v>0.05</v>
      </c>
      <c r="D47" s="18">
        <f t="shared" si="2"/>
        <v>10</v>
      </c>
      <c r="E47" s="10">
        <v>0.05</v>
      </c>
      <c r="F47" s="18">
        <f t="shared" si="3"/>
        <v>10</v>
      </c>
      <c r="G47" s="2"/>
    </row>
    <row r="48" spans="1:7" x14ac:dyDescent="0.35">
      <c r="A48" s="9">
        <v>13</v>
      </c>
      <c r="B48" s="2" t="s">
        <v>176</v>
      </c>
      <c r="C48" s="10">
        <v>1.5</v>
      </c>
      <c r="D48" s="18">
        <f t="shared" si="2"/>
        <v>300</v>
      </c>
      <c r="E48" s="10">
        <v>1.5</v>
      </c>
      <c r="F48" s="18">
        <f t="shared" si="3"/>
        <v>300</v>
      </c>
      <c r="G48" s="2"/>
    </row>
    <row r="49" spans="1:8" x14ac:dyDescent="0.35">
      <c r="A49" s="9">
        <v>14</v>
      </c>
      <c r="B49" s="2" t="s">
        <v>86</v>
      </c>
      <c r="C49" s="10">
        <v>0.25</v>
      </c>
      <c r="D49" s="18">
        <f t="shared" si="2"/>
        <v>50</v>
      </c>
      <c r="E49" s="10">
        <v>0.25</v>
      </c>
      <c r="F49" s="18">
        <f t="shared" si="3"/>
        <v>50</v>
      </c>
      <c r="G49" s="2"/>
    </row>
    <row r="50" spans="1:8" x14ac:dyDescent="0.35">
      <c r="A50" s="9">
        <v>15</v>
      </c>
      <c r="B50" s="2" t="s">
        <v>21</v>
      </c>
      <c r="C50" s="10">
        <v>0.3</v>
      </c>
      <c r="D50" s="18">
        <f t="shared" si="2"/>
        <v>60</v>
      </c>
      <c r="E50" s="10">
        <v>0.3</v>
      </c>
      <c r="F50" s="18">
        <f t="shared" si="3"/>
        <v>60</v>
      </c>
      <c r="G50" s="2"/>
    </row>
    <row r="51" spans="1:8" x14ac:dyDescent="0.35">
      <c r="A51" s="9">
        <v>16</v>
      </c>
      <c r="B51" s="2" t="s">
        <v>22</v>
      </c>
      <c r="C51" s="10">
        <v>0.15</v>
      </c>
      <c r="D51" s="18">
        <f t="shared" si="2"/>
        <v>30</v>
      </c>
      <c r="E51" s="10">
        <v>0.15</v>
      </c>
      <c r="F51" s="18">
        <f t="shared" si="3"/>
        <v>30</v>
      </c>
      <c r="G51" s="2"/>
    </row>
    <row r="52" spans="1:8" x14ac:dyDescent="0.35">
      <c r="A52" s="9">
        <v>17</v>
      </c>
      <c r="B52" s="2" t="s">
        <v>177</v>
      </c>
      <c r="C52" s="10">
        <v>0.5</v>
      </c>
      <c r="D52" s="18">
        <f t="shared" si="2"/>
        <v>100</v>
      </c>
      <c r="E52" s="10">
        <v>0.5</v>
      </c>
      <c r="F52" s="18">
        <f t="shared" si="3"/>
        <v>100</v>
      </c>
      <c r="G52" s="2"/>
    </row>
    <row r="53" spans="1:8" x14ac:dyDescent="0.35">
      <c r="A53" s="9">
        <v>18</v>
      </c>
      <c r="B53" s="2" t="s">
        <v>23</v>
      </c>
      <c r="C53" s="10">
        <v>20.25</v>
      </c>
      <c r="D53" s="18">
        <f t="shared" si="2"/>
        <v>4050</v>
      </c>
      <c r="E53" s="10">
        <v>21.5</v>
      </c>
      <c r="F53" s="18">
        <f t="shared" si="3"/>
        <v>4300</v>
      </c>
      <c r="G53" s="2" t="s">
        <v>386</v>
      </c>
    </row>
    <row r="54" spans="1:8" x14ac:dyDescent="0.35">
      <c r="A54" s="9"/>
      <c r="B54" s="5" t="s">
        <v>30</v>
      </c>
      <c r="C54" s="12">
        <f>SUM(C36:C53)</f>
        <v>50</v>
      </c>
      <c r="D54" s="12">
        <f>SUM(D36:D53)</f>
        <v>10000</v>
      </c>
      <c r="E54" s="12">
        <f>SUM(E36:E53)</f>
        <v>51.25</v>
      </c>
      <c r="F54" s="12">
        <f>SUM(F36:F53)</f>
        <v>10250</v>
      </c>
      <c r="G54" s="4">
        <v>100</v>
      </c>
      <c r="H54" s="1" t="s">
        <v>222</v>
      </c>
    </row>
    <row r="55" spans="1:8" x14ac:dyDescent="0.35">
      <c r="A55" s="9"/>
      <c r="B55" s="2" t="s">
        <v>200</v>
      </c>
      <c r="C55" s="2">
        <v>1</v>
      </c>
      <c r="D55" s="18"/>
      <c r="E55" s="2"/>
      <c r="F55" s="2"/>
      <c r="G55" s="4">
        <v>100</v>
      </c>
      <c r="H55" s="1" t="s">
        <v>221</v>
      </c>
    </row>
    <row r="56" spans="1:8" x14ac:dyDescent="0.35">
      <c r="A56" s="9"/>
      <c r="B56" s="2" t="s">
        <v>217</v>
      </c>
      <c r="C56" s="2">
        <v>1</v>
      </c>
      <c r="D56" s="18"/>
      <c r="E56" s="2"/>
      <c r="F56" s="2"/>
      <c r="G56" s="41">
        <f>F54-D54-G54-G55</f>
        <v>50</v>
      </c>
      <c r="H56" s="1" t="s">
        <v>239</v>
      </c>
    </row>
    <row r="57" spans="1:8" x14ac:dyDescent="0.35">
      <c r="A57" s="9"/>
      <c r="B57" s="2" t="s">
        <v>215</v>
      </c>
      <c r="C57" s="2">
        <v>1</v>
      </c>
      <c r="D57" s="18"/>
      <c r="E57" s="2"/>
      <c r="F57" s="2"/>
      <c r="G57" s="2"/>
    </row>
    <row r="58" spans="1:8" x14ac:dyDescent="0.35">
      <c r="A58" s="9"/>
      <c r="B58" s="2" t="s">
        <v>155</v>
      </c>
      <c r="C58" s="2" t="s">
        <v>171</v>
      </c>
      <c r="D58" s="18" t="e">
        <f t="shared" si="2"/>
        <v>#VALUE!</v>
      </c>
      <c r="E58" s="2"/>
      <c r="F58" s="2"/>
      <c r="G58" s="2"/>
    </row>
    <row r="59" spans="1:8" x14ac:dyDescent="0.35">
      <c r="A59" s="9"/>
      <c r="B59" s="2" t="s">
        <v>24</v>
      </c>
      <c r="C59" s="2" t="s">
        <v>178</v>
      </c>
      <c r="D59" s="18" t="e">
        <f t="shared" si="2"/>
        <v>#VALUE!</v>
      </c>
      <c r="E59" s="2"/>
      <c r="F59" s="2"/>
      <c r="G59" s="2"/>
    </row>
  </sheetData>
  <mergeCells count="2">
    <mergeCell ref="A1:G1"/>
    <mergeCell ref="A2:G2"/>
  </mergeCells>
  <pageMargins left="0.11811023622047245" right="0.11811023622047245" top="0.15748031496062992" bottom="0.15748031496062992" header="0.31496062992125984" footer="0.31496062992125984"/>
  <pageSetup paperSize="9" scale="63" orientation="landscape" horizontalDpi="203" verticalDpi="20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1"/>
  <sheetViews>
    <sheetView showGridLines="0" topLeftCell="A5" zoomScale="70" zoomScaleNormal="70" workbookViewId="0">
      <selection activeCell="G22" sqref="G22"/>
    </sheetView>
  </sheetViews>
  <sheetFormatPr defaultColWidth="8.81640625" defaultRowHeight="14.5" x14ac:dyDescent="0.35"/>
  <cols>
    <col min="1" max="1" width="16.81640625" style="7" customWidth="1"/>
    <col min="2" max="2" width="68.1796875" style="1" customWidth="1"/>
    <col min="3" max="6" width="18.81640625" style="1" customWidth="1"/>
    <col min="7" max="7" width="29.453125" style="1" customWidth="1"/>
    <col min="8" max="16384" width="8.81640625" style="1"/>
  </cols>
  <sheetData>
    <row r="1" spans="1:7" ht="25.5" customHeight="1" x14ac:dyDescent="0.4">
      <c r="A1" s="57" t="s">
        <v>31</v>
      </c>
      <c r="B1" s="57"/>
      <c r="C1" s="57"/>
      <c r="D1" s="57"/>
      <c r="E1" s="57"/>
      <c r="F1" s="57"/>
      <c r="G1" s="57"/>
    </row>
    <row r="2" spans="1:7" x14ac:dyDescent="0.35">
      <c r="A2" s="58" t="s">
        <v>187</v>
      </c>
      <c r="B2" s="58"/>
      <c r="C2" s="58"/>
      <c r="D2" s="58"/>
      <c r="E2" s="58"/>
      <c r="F2" s="58"/>
      <c r="G2" s="58"/>
    </row>
    <row r="3" spans="1:7" s="7" customFormat="1" ht="27" customHeight="1" x14ac:dyDescent="0.35">
      <c r="A3" s="6" t="s">
        <v>0</v>
      </c>
      <c r="B3" s="6" t="s">
        <v>179</v>
      </c>
      <c r="C3" s="6" t="s">
        <v>102</v>
      </c>
      <c r="D3" s="6">
        <v>2000</v>
      </c>
      <c r="E3" s="6"/>
      <c r="F3" s="6"/>
      <c r="G3" s="6">
        <f>2000*30+100+60</f>
        <v>60160</v>
      </c>
    </row>
    <row r="4" spans="1:7" s="7" customFormat="1" ht="55.5" customHeight="1" x14ac:dyDescent="0.35">
      <c r="A4" s="8" t="s">
        <v>2</v>
      </c>
      <c r="B4" s="8" t="s">
        <v>6</v>
      </c>
      <c r="C4" s="8" t="s">
        <v>58</v>
      </c>
      <c r="D4" s="27" t="s">
        <v>235</v>
      </c>
      <c r="E4" s="27" t="s">
        <v>244</v>
      </c>
      <c r="F4" s="27" t="s">
        <v>232</v>
      </c>
      <c r="G4" s="27" t="s">
        <v>4</v>
      </c>
    </row>
    <row r="5" spans="1:7" x14ac:dyDescent="0.35">
      <c r="A5" s="9">
        <v>1</v>
      </c>
      <c r="B5" s="2" t="s">
        <v>57</v>
      </c>
      <c r="C5" s="10">
        <v>3</v>
      </c>
      <c r="D5" s="10">
        <f>C5*$D$3</f>
        <v>6000</v>
      </c>
      <c r="E5" s="10">
        <v>3</v>
      </c>
      <c r="F5" s="10">
        <f>E5*$D$3</f>
        <v>6000</v>
      </c>
      <c r="G5" s="2"/>
    </row>
    <row r="6" spans="1:7" x14ac:dyDescent="0.35">
      <c r="A6" s="9">
        <v>2</v>
      </c>
      <c r="B6" s="2" t="s">
        <v>5</v>
      </c>
      <c r="C6" s="10">
        <v>3</v>
      </c>
      <c r="D6" s="10">
        <f t="shared" ref="D6:D22" si="0">C6*$D$3</f>
        <v>6000</v>
      </c>
      <c r="E6" s="10">
        <v>3</v>
      </c>
      <c r="F6" s="10">
        <f t="shared" ref="F6:F26" si="1">E6*$D$3</f>
        <v>6000</v>
      </c>
      <c r="G6" s="2"/>
    </row>
    <row r="7" spans="1:7" x14ac:dyDescent="0.35">
      <c r="A7" s="9">
        <v>3</v>
      </c>
      <c r="B7" s="15" t="s">
        <v>104</v>
      </c>
      <c r="C7" s="10">
        <v>1.5</v>
      </c>
      <c r="D7" s="10">
        <f t="shared" si="0"/>
        <v>3000</v>
      </c>
      <c r="E7" s="10">
        <v>1.5</v>
      </c>
      <c r="F7" s="10">
        <f t="shared" si="1"/>
        <v>3000</v>
      </c>
      <c r="G7" s="2"/>
    </row>
    <row r="8" spans="1:7" x14ac:dyDescent="0.35">
      <c r="A8" s="9">
        <v>4</v>
      </c>
      <c r="B8" s="2" t="s">
        <v>107</v>
      </c>
      <c r="C8" s="10">
        <v>1.5</v>
      </c>
      <c r="D8" s="10">
        <f t="shared" si="0"/>
        <v>3000</v>
      </c>
      <c r="E8" s="10">
        <v>1.5</v>
      </c>
      <c r="F8" s="10">
        <f t="shared" si="1"/>
        <v>3000</v>
      </c>
      <c r="G8" s="2"/>
    </row>
    <row r="9" spans="1:7" x14ac:dyDescent="0.35">
      <c r="A9" s="9">
        <v>5</v>
      </c>
      <c r="B9" s="2" t="s">
        <v>180</v>
      </c>
      <c r="C9" s="10">
        <v>1.5</v>
      </c>
      <c r="D9" s="10">
        <f t="shared" si="0"/>
        <v>3000</v>
      </c>
      <c r="E9" s="10">
        <v>1.5</v>
      </c>
      <c r="F9" s="10">
        <f t="shared" si="1"/>
        <v>3000</v>
      </c>
      <c r="G9" s="2"/>
    </row>
    <row r="10" spans="1:7" x14ac:dyDescent="0.35">
      <c r="A10" s="9">
        <v>6</v>
      </c>
      <c r="B10" s="2" t="s">
        <v>181</v>
      </c>
      <c r="C10" s="10">
        <v>0.03</v>
      </c>
      <c r="D10" s="10">
        <f t="shared" si="0"/>
        <v>60</v>
      </c>
      <c r="E10" s="10">
        <v>0.03</v>
      </c>
      <c r="F10" s="10">
        <f t="shared" si="1"/>
        <v>60</v>
      </c>
      <c r="G10" s="2"/>
    </row>
    <row r="11" spans="1:7" x14ac:dyDescent="0.35">
      <c r="A11" s="9">
        <v>7</v>
      </c>
      <c r="B11" s="2" t="s">
        <v>182</v>
      </c>
      <c r="C11" s="10">
        <v>0.03</v>
      </c>
      <c r="D11" s="10">
        <f t="shared" si="0"/>
        <v>60</v>
      </c>
      <c r="E11" s="10">
        <v>0.03</v>
      </c>
      <c r="F11" s="10">
        <f t="shared" si="1"/>
        <v>60</v>
      </c>
      <c r="G11" s="2"/>
    </row>
    <row r="12" spans="1:7" x14ac:dyDescent="0.35">
      <c r="A12" s="9">
        <v>8</v>
      </c>
      <c r="B12" s="2" t="s">
        <v>124</v>
      </c>
      <c r="C12" s="10">
        <v>0.12</v>
      </c>
      <c r="D12" s="10">
        <f t="shared" si="0"/>
        <v>240</v>
      </c>
      <c r="E12" s="10">
        <v>0.12</v>
      </c>
      <c r="F12" s="10">
        <f t="shared" si="1"/>
        <v>240</v>
      </c>
      <c r="G12" s="2"/>
    </row>
    <row r="13" spans="1:7" x14ac:dyDescent="0.35">
      <c r="A13" s="9">
        <v>9</v>
      </c>
      <c r="B13" s="2" t="s">
        <v>22</v>
      </c>
      <c r="C13" s="10">
        <v>0.03</v>
      </c>
      <c r="D13" s="10">
        <f t="shared" si="0"/>
        <v>60</v>
      </c>
      <c r="E13" s="10">
        <v>0.03</v>
      </c>
      <c r="F13" s="10">
        <f t="shared" si="1"/>
        <v>60</v>
      </c>
      <c r="G13" s="2"/>
    </row>
    <row r="14" spans="1:7" x14ac:dyDescent="0.35">
      <c r="A14" s="9">
        <v>10</v>
      </c>
      <c r="B14" s="2" t="s">
        <v>21</v>
      </c>
      <c r="C14" s="10">
        <v>0.15</v>
      </c>
      <c r="D14" s="10">
        <f t="shared" si="0"/>
        <v>300</v>
      </c>
      <c r="E14" s="10">
        <v>0.15</v>
      </c>
      <c r="F14" s="10">
        <f t="shared" si="1"/>
        <v>300</v>
      </c>
      <c r="G14" s="2"/>
    </row>
    <row r="15" spans="1:7" x14ac:dyDescent="0.35">
      <c r="A15" s="9">
        <v>11</v>
      </c>
      <c r="B15" s="2" t="s">
        <v>183</v>
      </c>
      <c r="C15" s="10">
        <v>0.44999999999999996</v>
      </c>
      <c r="D15" s="10">
        <f t="shared" si="0"/>
        <v>899.99999999999989</v>
      </c>
      <c r="E15" s="10">
        <v>0.44999999999999996</v>
      </c>
      <c r="F15" s="10">
        <f t="shared" si="1"/>
        <v>899.99999999999989</v>
      </c>
      <c r="G15" s="2"/>
    </row>
    <row r="16" spans="1:7" x14ac:dyDescent="0.35">
      <c r="A16" s="9">
        <v>12</v>
      </c>
      <c r="B16" s="14" t="s">
        <v>47</v>
      </c>
      <c r="C16" s="10">
        <v>1.5</v>
      </c>
      <c r="D16" s="10">
        <f t="shared" si="0"/>
        <v>3000</v>
      </c>
      <c r="E16" s="10">
        <v>1.5</v>
      </c>
      <c r="F16" s="10">
        <f t="shared" si="1"/>
        <v>3000</v>
      </c>
      <c r="G16" s="2"/>
    </row>
    <row r="17" spans="1:8" x14ac:dyDescent="0.35">
      <c r="A17" s="9">
        <v>13</v>
      </c>
      <c r="B17" s="2" t="s">
        <v>54</v>
      </c>
      <c r="C17" s="10">
        <v>7.4999999999999997E-2</v>
      </c>
      <c r="D17" s="10">
        <f t="shared" si="0"/>
        <v>150</v>
      </c>
      <c r="E17" s="10">
        <v>7.4999999999999997E-2</v>
      </c>
      <c r="F17" s="10">
        <f t="shared" si="1"/>
        <v>150</v>
      </c>
      <c r="G17" s="2"/>
    </row>
    <row r="18" spans="1:8" x14ac:dyDescent="0.35">
      <c r="A18" s="9">
        <v>14</v>
      </c>
      <c r="B18" s="2" t="s">
        <v>184</v>
      </c>
      <c r="C18" s="10">
        <v>0.3</v>
      </c>
      <c r="D18" s="10">
        <f t="shared" si="0"/>
        <v>600</v>
      </c>
      <c r="E18" s="10">
        <v>0.3</v>
      </c>
      <c r="F18" s="10">
        <f t="shared" si="1"/>
        <v>600</v>
      </c>
      <c r="G18" s="2"/>
    </row>
    <row r="19" spans="1:8" x14ac:dyDescent="0.35">
      <c r="A19" s="9">
        <v>15</v>
      </c>
      <c r="B19" s="2"/>
      <c r="C19" s="10"/>
      <c r="D19" s="10"/>
      <c r="E19" s="10"/>
      <c r="F19" s="10"/>
      <c r="G19" s="2"/>
    </row>
    <row r="20" spans="1:8" x14ac:dyDescent="0.35">
      <c r="A20" s="9">
        <v>16</v>
      </c>
      <c r="B20" s="2"/>
      <c r="C20" s="10"/>
      <c r="D20" s="10"/>
      <c r="E20" s="10"/>
      <c r="F20" s="10"/>
      <c r="G20" s="2"/>
    </row>
    <row r="21" spans="1:8" x14ac:dyDescent="0.35">
      <c r="A21" s="9">
        <v>17</v>
      </c>
      <c r="B21" s="2"/>
      <c r="C21" s="10"/>
      <c r="D21" s="10"/>
      <c r="E21" s="10"/>
      <c r="F21" s="10"/>
      <c r="G21" s="2" t="s">
        <v>392</v>
      </c>
    </row>
    <row r="22" spans="1:8" x14ac:dyDescent="0.35">
      <c r="A22" s="9">
        <v>18</v>
      </c>
      <c r="B22" s="2" t="s">
        <v>23</v>
      </c>
      <c r="C22" s="10">
        <v>16.815000000000005</v>
      </c>
      <c r="D22" s="10">
        <f t="shared" si="0"/>
        <v>33630.000000000007</v>
      </c>
      <c r="E22" s="10">
        <v>17</v>
      </c>
      <c r="F22" s="10">
        <f>E22*$D$3</f>
        <v>34000</v>
      </c>
      <c r="G22" s="2">
        <v>60</v>
      </c>
      <c r="H22" s="1" t="s">
        <v>222</v>
      </c>
    </row>
    <row r="23" spans="1:8" x14ac:dyDescent="0.35">
      <c r="A23" s="9"/>
      <c r="B23" s="5" t="s">
        <v>30</v>
      </c>
      <c r="C23" s="12">
        <f>SUM(C5:C22)</f>
        <v>30</v>
      </c>
      <c r="D23" s="12">
        <f>SUM(D5:D22)</f>
        <v>60000.000000000007</v>
      </c>
      <c r="E23" s="12">
        <f>SUM(E5:E22)</f>
        <v>30.184999999999995</v>
      </c>
      <c r="F23" s="12">
        <f>SUM(F5:F22)</f>
        <v>60370</v>
      </c>
      <c r="G23" s="4">
        <v>100</v>
      </c>
      <c r="H23" s="1" t="s">
        <v>221</v>
      </c>
    </row>
    <row r="24" spans="1:8" x14ac:dyDescent="0.35">
      <c r="A24" s="9"/>
      <c r="B24" s="2" t="s">
        <v>208</v>
      </c>
      <c r="C24" s="2">
        <v>1</v>
      </c>
      <c r="D24" s="10"/>
      <c r="E24" s="2"/>
      <c r="F24" s="10">
        <f t="shared" si="1"/>
        <v>0</v>
      </c>
      <c r="G24" s="41">
        <f>F23-D23-G22-G23</f>
        <v>209.99999999999272</v>
      </c>
      <c r="H24" s="1" t="s">
        <v>239</v>
      </c>
    </row>
    <row r="25" spans="1:8" x14ac:dyDescent="0.35">
      <c r="A25" s="9"/>
      <c r="B25" s="2" t="s">
        <v>209</v>
      </c>
      <c r="C25" s="2">
        <v>1</v>
      </c>
      <c r="D25" s="10"/>
      <c r="E25" s="2"/>
      <c r="F25" s="10">
        <f t="shared" si="1"/>
        <v>0</v>
      </c>
      <c r="G25" s="2"/>
    </row>
    <row r="26" spans="1:8" x14ac:dyDescent="0.35">
      <c r="A26" s="9"/>
      <c r="B26" s="2" t="s">
        <v>218</v>
      </c>
      <c r="C26" s="2">
        <v>1</v>
      </c>
      <c r="D26" s="10"/>
      <c r="E26" s="2"/>
      <c r="F26" s="10">
        <f t="shared" si="1"/>
        <v>0</v>
      </c>
      <c r="G26" s="2"/>
    </row>
    <row r="27" spans="1:8" x14ac:dyDescent="0.35">
      <c r="A27" s="9"/>
      <c r="B27" s="2"/>
      <c r="C27" s="2"/>
      <c r="D27" s="2"/>
      <c r="E27" s="2"/>
      <c r="F27" s="2"/>
      <c r="G27" s="2"/>
    </row>
    <row r="28" spans="1:8" x14ac:dyDescent="0.35">
      <c r="A28" s="9"/>
      <c r="B28" s="2" t="s">
        <v>25</v>
      </c>
      <c r="C28" s="2" t="s">
        <v>146</v>
      </c>
      <c r="D28" s="2"/>
      <c r="E28" s="2"/>
      <c r="F28" s="2"/>
      <c r="G28" s="2"/>
    </row>
    <row r="29" spans="1:8" x14ac:dyDescent="0.35">
      <c r="A29" s="9"/>
      <c r="B29" s="2" t="s">
        <v>155</v>
      </c>
      <c r="C29" s="2" t="s">
        <v>144</v>
      </c>
      <c r="D29" s="2"/>
      <c r="E29" s="2"/>
      <c r="F29" s="2"/>
      <c r="G29" s="2"/>
    </row>
    <row r="30" spans="1:8" x14ac:dyDescent="0.35">
      <c r="A30" s="9"/>
      <c r="B30" s="2" t="s">
        <v>24</v>
      </c>
      <c r="C30" s="2" t="s">
        <v>145</v>
      </c>
      <c r="D30" s="2"/>
      <c r="E30" s="2"/>
      <c r="F30" s="2"/>
      <c r="G30" s="2"/>
    </row>
    <row r="31" spans="1:8" x14ac:dyDescent="0.35">
      <c r="C31" s="48">
        <f>30-C23</f>
        <v>0</v>
      </c>
    </row>
  </sheetData>
  <mergeCells count="2">
    <mergeCell ref="A1:G1"/>
    <mergeCell ref="A2:G2"/>
  </mergeCells>
  <pageMargins left="0.31496062992125984" right="0.31496062992125984" top="0.74803149606299213" bottom="0.74803149606299213" header="0.31496062992125984" footer="0.31496062992125984"/>
  <pageSetup paperSize="9" scale="85" orientation="landscape" horizontalDpi="203" verticalDpi="20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21"/>
  <sheetViews>
    <sheetView showGridLines="0" topLeftCell="A91" zoomScale="70" zoomScaleNormal="70" workbookViewId="0">
      <selection activeCell="G109" sqref="G109"/>
    </sheetView>
  </sheetViews>
  <sheetFormatPr defaultColWidth="8.81640625" defaultRowHeight="14.5" x14ac:dyDescent="0.35"/>
  <cols>
    <col min="1" max="1" width="16.81640625" style="7" customWidth="1"/>
    <col min="2" max="2" width="68.1796875" style="1" customWidth="1"/>
    <col min="3" max="3" width="22.90625" style="1" customWidth="1"/>
    <col min="4" max="6" width="18.81640625" style="1" customWidth="1"/>
    <col min="7" max="7" width="29.453125" style="1" customWidth="1"/>
    <col min="8" max="16384" width="8.81640625" style="1"/>
  </cols>
  <sheetData>
    <row r="1" spans="1:7" ht="25.5" customHeight="1" x14ac:dyDescent="0.4">
      <c r="A1" s="57" t="s">
        <v>245</v>
      </c>
      <c r="B1" s="57"/>
      <c r="C1" s="57"/>
      <c r="D1" s="57"/>
      <c r="E1" s="57"/>
      <c r="F1" s="57"/>
      <c r="G1" s="57"/>
    </row>
    <row r="2" spans="1:7" x14ac:dyDescent="0.35">
      <c r="A2" s="58"/>
      <c r="B2" s="58"/>
      <c r="C2" s="58"/>
      <c r="D2" s="58"/>
      <c r="E2" s="58"/>
      <c r="F2" s="58"/>
      <c r="G2" s="58"/>
    </row>
    <row r="3" spans="1:7" s="7" customFormat="1" ht="27" customHeight="1" x14ac:dyDescent="0.35">
      <c r="A3" s="6" t="s">
        <v>0</v>
      </c>
      <c r="B3" s="6" t="s">
        <v>248</v>
      </c>
      <c r="C3" s="6" t="s">
        <v>246</v>
      </c>
      <c r="D3" s="6">
        <v>250</v>
      </c>
      <c r="E3" s="6"/>
      <c r="F3" s="6"/>
      <c r="G3" s="6">
        <f>250*100+200+100</f>
        <v>25300</v>
      </c>
    </row>
    <row r="4" spans="1:7" s="7" customFormat="1" ht="55.5" customHeight="1" x14ac:dyDescent="0.35">
      <c r="A4" s="8" t="s">
        <v>2</v>
      </c>
      <c r="B4" s="8" t="s">
        <v>6</v>
      </c>
      <c r="C4" s="8" t="s">
        <v>247</v>
      </c>
      <c r="D4" s="27" t="s">
        <v>235</v>
      </c>
      <c r="E4" s="27" t="s">
        <v>267</v>
      </c>
      <c r="F4" s="27" t="s">
        <v>232</v>
      </c>
      <c r="G4" s="27" t="s">
        <v>4</v>
      </c>
    </row>
    <row r="5" spans="1:7" x14ac:dyDescent="0.35">
      <c r="A5" s="9">
        <v>1</v>
      </c>
      <c r="B5" s="2" t="s">
        <v>249</v>
      </c>
      <c r="C5" s="10">
        <v>10</v>
      </c>
      <c r="D5" s="10">
        <f>C5*$D$3</f>
        <v>2500</v>
      </c>
      <c r="E5" s="10">
        <v>10</v>
      </c>
      <c r="F5" s="10">
        <f>E5*$D$3</f>
        <v>2500</v>
      </c>
      <c r="G5" s="2"/>
    </row>
    <row r="6" spans="1:7" x14ac:dyDescent="0.35">
      <c r="A6" s="9">
        <v>2</v>
      </c>
      <c r="B6" s="2" t="s">
        <v>5</v>
      </c>
      <c r="C6" s="10">
        <v>10</v>
      </c>
      <c r="D6" s="10">
        <f t="shared" ref="D6:D22" si="0">C6*$D$3</f>
        <v>2500</v>
      </c>
      <c r="E6" s="10">
        <v>10</v>
      </c>
      <c r="F6" s="10">
        <f t="shared" ref="F6:F26" si="1">E6*$D$3</f>
        <v>2500</v>
      </c>
      <c r="G6" s="2"/>
    </row>
    <row r="7" spans="1:7" x14ac:dyDescent="0.35">
      <c r="A7" s="9">
        <v>3</v>
      </c>
      <c r="B7" s="15" t="s">
        <v>250</v>
      </c>
      <c r="C7" s="10">
        <v>20</v>
      </c>
      <c r="D7" s="10">
        <f t="shared" si="0"/>
        <v>5000</v>
      </c>
      <c r="E7" s="10">
        <v>20</v>
      </c>
      <c r="F7" s="10">
        <f t="shared" si="1"/>
        <v>5000</v>
      </c>
      <c r="G7" s="2"/>
    </row>
    <row r="8" spans="1:7" x14ac:dyDescent="0.35">
      <c r="A8" s="9">
        <v>4</v>
      </c>
      <c r="B8" s="2" t="s">
        <v>251</v>
      </c>
      <c r="C8" s="10">
        <v>5</v>
      </c>
      <c r="D8" s="10">
        <f t="shared" si="0"/>
        <v>1250</v>
      </c>
      <c r="E8" s="10">
        <v>5</v>
      </c>
      <c r="F8" s="10">
        <f t="shared" si="1"/>
        <v>1250</v>
      </c>
      <c r="G8" s="2"/>
    </row>
    <row r="9" spans="1:7" x14ac:dyDescent="0.35">
      <c r="A9" s="9">
        <v>5</v>
      </c>
      <c r="B9" s="2" t="s">
        <v>252</v>
      </c>
      <c r="C9" s="10">
        <v>3</v>
      </c>
      <c r="D9" s="10">
        <f t="shared" si="0"/>
        <v>750</v>
      </c>
      <c r="E9" s="10">
        <v>3</v>
      </c>
      <c r="F9" s="10">
        <f t="shared" si="1"/>
        <v>750</v>
      </c>
      <c r="G9" s="2"/>
    </row>
    <row r="10" spans="1:7" x14ac:dyDescent="0.35">
      <c r="A10" s="9">
        <v>6</v>
      </c>
      <c r="B10" s="2" t="s">
        <v>253</v>
      </c>
      <c r="C10" s="10">
        <v>3</v>
      </c>
      <c r="D10" s="10">
        <f t="shared" si="0"/>
        <v>750</v>
      </c>
      <c r="E10" s="10">
        <v>3</v>
      </c>
      <c r="F10" s="10">
        <f t="shared" si="1"/>
        <v>750</v>
      </c>
      <c r="G10" s="2"/>
    </row>
    <row r="11" spans="1:7" x14ac:dyDescent="0.35">
      <c r="A11" s="9">
        <v>7</v>
      </c>
      <c r="B11" s="2" t="s">
        <v>254</v>
      </c>
      <c r="C11" s="10">
        <v>10</v>
      </c>
      <c r="D11" s="10">
        <f t="shared" si="0"/>
        <v>2500</v>
      </c>
      <c r="E11" s="10">
        <v>10</v>
      </c>
      <c r="F11" s="10">
        <f t="shared" si="1"/>
        <v>2500</v>
      </c>
      <c r="G11" s="2"/>
    </row>
    <row r="12" spans="1:7" x14ac:dyDescent="0.35">
      <c r="A12" s="9">
        <v>8</v>
      </c>
      <c r="B12" s="2" t="s">
        <v>255</v>
      </c>
      <c r="C12" s="10">
        <v>1.5</v>
      </c>
      <c r="D12" s="10">
        <f t="shared" si="0"/>
        <v>375</v>
      </c>
      <c r="E12" s="10">
        <v>1.5</v>
      </c>
      <c r="F12" s="10">
        <f t="shared" si="1"/>
        <v>375</v>
      </c>
      <c r="G12" s="2"/>
    </row>
    <row r="13" spans="1:7" x14ac:dyDescent="0.35">
      <c r="A13" s="9">
        <v>9</v>
      </c>
      <c r="B13" s="2" t="s">
        <v>256</v>
      </c>
      <c r="C13" s="10">
        <v>5</v>
      </c>
      <c r="D13" s="10">
        <f t="shared" si="0"/>
        <v>1250</v>
      </c>
      <c r="E13" s="10">
        <v>5</v>
      </c>
      <c r="F13" s="10">
        <f t="shared" si="1"/>
        <v>1250</v>
      </c>
      <c r="G13" s="2"/>
    </row>
    <row r="14" spans="1:7" x14ac:dyDescent="0.35">
      <c r="A14" s="9">
        <v>10</v>
      </c>
      <c r="B14" s="2" t="s">
        <v>257</v>
      </c>
      <c r="C14" s="10">
        <v>0.04</v>
      </c>
      <c r="D14" s="10">
        <f t="shared" si="0"/>
        <v>10</v>
      </c>
      <c r="E14" s="10">
        <v>0.04</v>
      </c>
      <c r="F14" s="10">
        <f t="shared" si="1"/>
        <v>10</v>
      </c>
      <c r="G14" s="2"/>
    </row>
    <row r="15" spans="1:7" x14ac:dyDescent="0.35">
      <c r="A15" s="9">
        <v>11</v>
      </c>
      <c r="B15" s="2" t="s">
        <v>258</v>
      </c>
      <c r="C15" s="10">
        <v>0.5</v>
      </c>
      <c r="D15" s="10">
        <f t="shared" si="0"/>
        <v>125</v>
      </c>
      <c r="E15" s="10">
        <v>0.5</v>
      </c>
      <c r="F15" s="10">
        <f t="shared" si="1"/>
        <v>125</v>
      </c>
      <c r="G15" s="2"/>
    </row>
    <row r="16" spans="1:7" x14ac:dyDescent="0.35">
      <c r="A16" s="9">
        <v>12</v>
      </c>
      <c r="B16" s="14" t="s">
        <v>259</v>
      </c>
      <c r="C16" s="10">
        <v>0.5</v>
      </c>
      <c r="D16" s="10">
        <f t="shared" si="0"/>
        <v>125</v>
      </c>
      <c r="E16" s="10">
        <v>0.5</v>
      </c>
      <c r="F16" s="10">
        <f t="shared" si="1"/>
        <v>125</v>
      </c>
      <c r="G16" s="2"/>
    </row>
    <row r="17" spans="1:8" x14ac:dyDescent="0.35">
      <c r="A17" s="9">
        <v>13</v>
      </c>
      <c r="B17" s="2" t="s">
        <v>260</v>
      </c>
      <c r="C17" s="10">
        <v>2</v>
      </c>
      <c r="D17" s="10">
        <f t="shared" si="0"/>
        <v>500</v>
      </c>
      <c r="E17" s="10">
        <v>2</v>
      </c>
      <c r="F17" s="10">
        <f t="shared" si="1"/>
        <v>500</v>
      </c>
      <c r="G17" s="2"/>
    </row>
    <row r="18" spans="1:8" x14ac:dyDescent="0.35">
      <c r="A18" s="9">
        <v>14</v>
      </c>
      <c r="B18" s="2" t="s">
        <v>261</v>
      </c>
      <c r="C18" s="10">
        <v>5</v>
      </c>
      <c r="D18" s="10">
        <f t="shared" si="0"/>
        <v>1250</v>
      </c>
      <c r="E18" s="10">
        <v>5</v>
      </c>
      <c r="F18" s="10">
        <f t="shared" si="1"/>
        <v>1250</v>
      </c>
      <c r="G18" s="2"/>
    </row>
    <row r="19" spans="1:8" x14ac:dyDescent="0.35">
      <c r="A19" s="9">
        <v>15</v>
      </c>
      <c r="B19" s="2" t="s">
        <v>262</v>
      </c>
      <c r="C19" s="10">
        <v>1</v>
      </c>
      <c r="D19" s="10">
        <f t="shared" si="0"/>
        <v>250</v>
      </c>
      <c r="E19" s="10">
        <v>1</v>
      </c>
      <c r="F19" s="10">
        <f t="shared" si="1"/>
        <v>250</v>
      </c>
      <c r="G19" s="2"/>
    </row>
    <row r="20" spans="1:8" x14ac:dyDescent="0.35">
      <c r="A20" s="9">
        <v>16</v>
      </c>
      <c r="B20" s="2" t="s">
        <v>126</v>
      </c>
      <c r="C20" s="10">
        <v>0.5</v>
      </c>
      <c r="D20" s="10">
        <f t="shared" si="0"/>
        <v>125</v>
      </c>
      <c r="E20" s="10">
        <v>0.5</v>
      </c>
      <c r="F20" s="10">
        <f t="shared" si="1"/>
        <v>125</v>
      </c>
      <c r="G20" s="2"/>
    </row>
    <row r="21" spans="1:8" x14ac:dyDescent="0.35">
      <c r="A21" s="9">
        <v>17</v>
      </c>
      <c r="B21" s="2" t="s">
        <v>154</v>
      </c>
      <c r="C21" s="10">
        <v>22.96</v>
      </c>
      <c r="D21" s="10">
        <f t="shared" si="0"/>
        <v>5740</v>
      </c>
      <c r="E21" s="10">
        <v>24.4</v>
      </c>
      <c r="F21" s="10">
        <f t="shared" si="1"/>
        <v>6100</v>
      </c>
      <c r="G21" s="2"/>
    </row>
    <row r="22" spans="1:8" x14ac:dyDescent="0.35">
      <c r="A22" s="9">
        <v>18</v>
      </c>
      <c r="B22" s="2"/>
      <c r="C22" s="10"/>
      <c r="D22" s="10">
        <f t="shared" si="0"/>
        <v>0</v>
      </c>
      <c r="E22" s="10"/>
      <c r="F22" s="10">
        <f t="shared" si="1"/>
        <v>0</v>
      </c>
      <c r="G22" s="2">
        <v>200</v>
      </c>
      <c r="H22" s="1" t="s">
        <v>222</v>
      </c>
    </row>
    <row r="23" spans="1:8" x14ac:dyDescent="0.35">
      <c r="A23" s="9"/>
      <c r="B23" s="5" t="s">
        <v>30</v>
      </c>
      <c r="C23" s="33">
        <f>SUM(C5:C22)</f>
        <v>100</v>
      </c>
      <c r="D23" s="12">
        <f>SUM(D5:D22)</f>
        <v>25000</v>
      </c>
      <c r="E23" s="12">
        <f>SUM(E5:E22)</f>
        <v>101.44</v>
      </c>
      <c r="F23" s="12">
        <f>SUM(F5:F22)</f>
        <v>25360</v>
      </c>
      <c r="G23" s="4">
        <v>100</v>
      </c>
      <c r="H23" s="1" t="s">
        <v>221</v>
      </c>
    </row>
    <row r="24" spans="1:8" x14ac:dyDescent="0.35">
      <c r="A24" s="9"/>
      <c r="B24" s="2" t="s">
        <v>263</v>
      </c>
      <c r="C24" s="2">
        <v>250</v>
      </c>
      <c r="D24" s="10"/>
      <c r="E24" s="2"/>
      <c r="F24" s="10">
        <f t="shared" si="1"/>
        <v>0</v>
      </c>
      <c r="G24" s="41">
        <f>F23-D23-G22-G23</f>
        <v>60</v>
      </c>
      <c r="H24" s="1" t="s">
        <v>239</v>
      </c>
    </row>
    <row r="25" spans="1:8" x14ac:dyDescent="0.35">
      <c r="A25" s="9"/>
      <c r="B25" s="2"/>
      <c r="C25" s="2"/>
      <c r="D25" s="10"/>
      <c r="E25" s="2"/>
      <c r="F25" s="10">
        <f t="shared" si="1"/>
        <v>0</v>
      </c>
      <c r="G25" s="2"/>
    </row>
    <row r="26" spans="1:8" x14ac:dyDescent="0.35">
      <c r="A26" s="9"/>
      <c r="B26" s="2"/>
      <c r="C26" s="2"/>
      <c r="D26" s="10"/>
      <c r="E26" s="2"/>
      <c r="F26" s="10">
        <f t="shared" si="1"/>
        <v>0</v>
      </c>
      <c r="G26" s="2"/>
    </row>
    <row r="27" spans="1:8" x14ac:dyDescent="0.35">
      <c r="A27" s="9"/>
      <c r="B27" s="2"/>
      <c r="C27" s="2"/>
      <c r="D27" s="2"/>
      <c r="E27" s="2"/>
      <c r="F27" s="2"/>
      <c r="G27" s="2"/>
    </row>
    <row r="28" spans="1:8" x14ac:dyDescent="0.35">
      <c r="A28" s="9"/>
      <c r="B28" s="2" t="s">
        <v>25</v>
      </c>
      <c r="C28" s="2" t="s">
        <v>266</v>
      </c>
      <c r="D28" s="2"/>
      <c r="E28" s="2"/>
      <c r="F28" s="2"/>
      <c r="G28" s="2"/>
    </row>
    <row r="29" spans="1:8" x14ac:dyDescent="0.35">
      <c r="A29" s="9"/>
      <c r="B29" s="2" t="s">
        <v>155</v>
      </c>
      <c r="C29" s="2" t="s">
        <v>265</v>
      </c>
      <c r="D29" s="2"/>
      <c r="E29" s="2"/>
      <c r="F29" s="2"/>
      <c r="G29" s="2"/>
    </row>
    <row r="30" spans="1:8" x14ac:dyDescent="0.35">
      <c r="A30" s="9"/>
      <c r="B30" s="2" t="s">
        <v>24</v>
      </c>
      <c r="C30" s="2" t="s">
        <v>264</v>
      </c>
      <c r="D30" s="2"/>
      <c r="E30" s="2"/>
      <c r="F30" s="2"/>
      <c r="G30" s="2"/>
    </row>
    <row r="32" spans="1:8" x14ac:dyDescent="0.35">
      <c r="C32" s="46">
        <f>100-C23</f>
        <v>0</v>
      </c>
    </row>
    <row r="33" spans="1:7" s="7" customFormat="1" ht="27" customHeight="1" x14ac:dyDescent="0.35">
      <c r="A33" s="6" t="s">
        <v>0</v>
      </c>
      <c r="B33" s="6" t="s">
        <v>268</v>
      </c>
      <c r="C33" s="6" t="s">
        <v>269</v>
      </c>
      <c r="D33" s="6">
        <v>118</v>
      </c>
      <c r="E33" s="6"/>
      <c r="F33" s="6">
        <f>D33*300</f>
        <v>35400</v>
      </c>
      <c r="G33" s="6">
        <f>118*300+600+100</f>
        <v>36100</v>
      </c>
    </row>
    <row r="34" spans="1:7" s="7" customFormat="1" ht="55.5" customHeight="1" x14ac:dyDescent="0.35">
      <c r="A34" s="8" t="s">
        <v>2</v>
      </c>
      <c r="B34" s="8" t="s">
        <v>6</v>
      </c>
      <c r="C34" s="8" t="s">
        <v>270</v>
      </c>
      <c r="D34" s="27" t="s">
        <v>235</v>
      </c>
      <c r="E34" s="27" t="s">
        <v>271</v>
      </c>
      <c r="F34" s="27" t="s">
        <v>232</v>
      </c>
      <c r="G34" s="27" t="s">
        <v>4</v>
      </c>
    </row>
    <row r="35" spans="1:7" x14ac:dyDescent="0.35">
      <c r="A35" s="9">
        <v>1</v>
      </c>
      <c r="B35" s="2" t="s">
        <v>249</v>
      </c>
      <c r="C35" s="10">
        <v>30</v>
      </c>
      <c r="D35" s="10">
        <f>C35*$D$33</f>
        <v>3540</v>
      </c>
      <c r="E35" s="10">
        <v>30</v>
      </c>
      <c r="F35" s="10">
        <f>E35*$D$33</f>
        <v>3540</v>
      </c>
      <c r="G35" s="2"/>
    </row>
    <row r="36" spans="1:7" x14ac:dyDescent="0.35">
      <c r="A36" s="9">
        <v>2</v>
      </c>
      <c r="B36" s="2" t="s">
        <v>5</v>
      </c>
      <c r="C36" s="10">
        <v>30</v>
      </c>
      <c r="D36" s="10">
        <f t="shared" ref="D36:D52" si="2">C36*$D$33</f>
        <v>3540</v>
      </c>
      <c r="E36" s="10">
        <v>30</v>
      </c>
      <c r="F36" s="10">
        <f t="shared" ref="F36:F56" si="3">E36*$D$33</f>
        <v>3540</v>
      </c>
      <c r="G36" s="2"/>
    </row>
    <row r="37" spans="1:7" x14ac:dyDescent="0.35">
      <c r="A37" s="9">
        <v>3</v>
      </c>
      <c r="B37" s="15" t="s">
        <v>250</v>
      </c>
      <c r="C37" s="10">
        <v>60</v>
      </c>
      <c r="D37" s="10">
        <f t="shared" si="2"/>
        <v>7080</v>
      </c>
      <c r="E37" s="10">
        <v>60</v>
      </c>
      <c r="F37" s="10">
        <f t="shared" si="3"/>
        <v>7080</v>
      </c>
      <c r="G37" s="2"/>
    </row>
    <row r="38" spans="1:7" x14ac:dyDescent="0.35">
      <c r="A38" s="9">
        <v>4</v>
      </c>
      <c r="B38" s="2" t="s">
        <v>251</v>
      </c>
      <c r="C38" s="10">
        <v>15</v>
      </c>
      <c r="D38" s="10">
        <f t="shared" si="2"/>
        <v>1770</v>
      </c>
      <c r="E38" s="10">
        <v>15</v>
      </c>
      <c r="F38" s="10">
        <f t="shared" si="3"/>
        <v>1770</v>
      </c>
      <c r="G38" s="2"/>
    </row>
    <row r="39" spans="1:7" x14ac:dyDescent="0.35">
      <c r="A39" s="9">
        <v>5</v>
      </c>
      <c r="B39" s="2" t="s">
        <v>252</v>
      </c>
      <c r="C39" s="10">
        <v>9</v>
      </c>
      <c r="D39" s="10">
        <f t="shared" si="2"/>
        <v>1062</v>
      </c>
      <c r="E39" s="10">
        <v>9</v>
      </c>
      <c r="F39" s="10">
        <f t="shared" si="3"/>
        <v>1062</v>
      </c>
      <c r="G39" s="2"/>
    </row>
    <row r="40" spans="1:7" x14ac:dyDescent="0.35">
      <c r="A40" s="9">
        <v>6</v>
      </c>
      <c r="B40" s="2" t="s">
        <v>253</v>
      </c>
      <c r="C40" s="10">
        <v>9</v>
      </c>
      <c r="D40" s="10">
        <f t="shared" si="2"/>
        <v>1062</v>
      </c>
      <c r="E40" s="10">
        <v>9</v>
      </c>
      <c r="F40" s="10">
        <f t="shared" si="3"/>
        <v>1062</v>
      </c>
      <c r="G40" s="2"/>
    </row>
    <row r="41" spans="1:7" x14ac:dyDescent="0.35">
      <c r="A41" s="9">
        <v>7</v>
      </c>
      <c r="B41" s="2" t="s">
        <v>254</v>
      </c>
      <c r="C41" s="10">
        <v>30</v>
      </c>
      <c r="D41" s="10">
        <f t="shared" si="2"/>
        <v>3540</v>
      </c>
      <c r="E41" s="10">
        <v>30</v>
      </c>
      <c r="F41" s="10">
        <f t="shared" si="3"/>
        <v>3540</v>
      </c>
      <c r="G41" s="2"/>
    </row>
    <row r="42" spans="1:7" x14ac:dyDescent="0.35">
      <c r="A42" s="9">
        <v>8</v>
      </c>
      <c r="B42" s="2" t="s">
        <v>255</v>
      </c>
      <c r="C42" s="10">
        <v>4.5</v>
      </c>
      <c r="D42" s="10">
        <f t="shared" si="2"/>
        <v>531</v>
      </c>
      <c r="E42" s="10">
        <v>4.5</v>
      </c>
      <c r="F42" s="10">
        <f t="shared" si="3"/>
        <v>531</v>
      </c>
      <c r="G42" s="2"/>
    </row>
    <row r="43" spans="1:7" x14ac:dyDescent="0.35">
      <c r="A43" s="9">
        <v>9</v>
      </c>
      <c r="B43" s="2" t="s">
        <v>256</v>
      </c>
      <c r="C43" s="10">
        <v>15</v>
      </c>
      <c r="D43" s="10">
        <f t="shared" si="2"/>
        <v>1770</v>
      </c>
      <c r="E43" s="10">
        <v>15</v>
      </c>
      <c r="F43" s="10">
        <f t="shared" si="3"/>
        <v>1770</v>
      </c>
      <c r="G43" s="2"/>
    </row>
    <row r="44" spans="1:7" x14ac:dyDescent="0.35">
      <c r="A44" s="9">
        <v>10</v>
      </c>
      <c r="B44" s="2" t="s">
        <v>257</v>
      </c>
      <c r="C44" s="10">
        <v>0.12000000000000001</v>
      </c>
      <c r="D44" s="10">
        <f t="shared" si="2"/>
        <v>14.160000000000002</v>
      </c>
      <c r="E44" s="10">
        <v>0.12000000000000001</v>
      </c>
      <c r="F44" s="10">
        <f t="shared" si="3"/>
        <v>14.160000000000002</v>
      </c>
      <c r="G44" s="2"/>
    </row>
    <row r="45" spans="1:7" x14ac:dyDescent="0.35">
      <c r="A45" s="9">
        <v>11</v>
      </c>
      <c r="B45" s="2" t="s">
        <v>258</v>
      </c>
      <c r="C45" s="10">
        <v>1.5</v>
      </c>
      <c r="D45" s="10">
        <f t="shared" si="2"/>
        <v>177</v>
      </c>
      <c r="E45" s="10">
        <v>1.5</v>
      </c>
      <c r="F45" s="10">
        <f t="shared" si="3"/>
        <v>177</v>
      </c>
      <c r="G45" s="2"/>
    </row>
    <row r="46" spans="1:7" x14ac:dyDescent="0.35">
      <c r="A46" s="9">
        <v>12</v>
      </c>
      <c r="B46" s="14" t="s">
        <v>259</v>
      </c>
      <c r="C46" s="10">
        <v>1.5</v>
      </c>
      <c r="D46" s="10">
        <f t="shared" si="2"/>
        <v>177</v>
      </c>
      <c r="E46" s="10">
        <v>1.5</v>
      </c>
      <c r="F46" s="10">
        <f t="shared" si="3"/>
        <v>177</v>
      </c>
      <c r="G46" s="2"/>
    </row>
    <row r="47" spans="1:7" x14ac:dyDescent="0.35">
      <c r="A47" s="9">
        <v>13</v>
      </c>
      <c r="B47" s="2" t="s">
        <v>260</v>
      </c>
      <c r="C47" s="10">
        <v>6</v>
      </c>
      <c r="D47" s="10">
        <f t="shared" si="2"/>
        <v>708</v>
      </c>
      <c r="E47" s="10">
        <v>6</v>
      </c>
      <c r="F47" s="10">
        <f t="shared" si="3"/>
        <v>708</v>
      </c>
      <c r="G47" s="2"/>
    </row>
    <row r="48" spans="1:7" x14ac:dyDescent="0.35">
      <c r="A48" s="9">
        <v>14</v>
      </c>
      <c r="B48" s="2" t="s">
        <v>261</v>
      </c>
      <c r="C48" s="10">
        <v>15</v>
      </c>
      <c r="D48" s="10">
        <f>C48*$D$33</f>
        <v>1770</v>
      </c>
      <c r="E48" s="10">
        <v>15</v>
      </c>
      <c r="F48" s="10">
        <f t="shared" si="3"/>
        <v>1770</v>
      </c>
      <c r="G48" s="2"/>
    </row>
    <row r="49" spans="1:8" x14ac:dyDescent="0.35">
      <c r="A49" s="9">
        <v>15</v>
      </c>
      <c r="B49" s="2" t="s">
        <v>262</v>
      </c>
      <c r="C49" s="10">
        <v>3</v>
      </c>
      <c r="D49" s="10">
        <f t="shared" si="2"/>
        <v>354</v>
      </c>
      <c r="E49" s="10">
        <v>3</v>
      </c>
      <c r="F49" s="10">
        <f t="shared" si="3"/>
        <v>354</v>
      </c>
      <c r="G49" s="2"/>
    </row>
    <row r="50" spans="1:8" x14ac:dyDescent="0.35">
      <c r="A50" s="9">
        <v>16</v>
      </c>
      <c r="B50" s="2" t="s">
        <v>126</v>
      </c>
      <c r="C50" s="10">
        <v>1.5</v>
      </c>
      <c r="D50" s="10">
        <f t="shared" si="2"/>
        <v>177</v>
      </c>
      <c r="E50" s="10">
        <v>1.5</v>
      </c>
      <c r="F50" s="10">
        <f t="shared" si="3"/>
        <v>177</v>
      </c>
      <c r="G50" s="2"/>
    </row>
    <row r="51" spans="1:8" x14ac:dyDescent="0.35">
      <c r="A51" s="9">
        <v>17</v>
      </c>
      <c r="B51" s="2" t="s">
        <v>154</v>
      </c>
      <c r="C51" s="10">
        <v>68.88</v>
      </c>
      <c r="D51" s="10">
        <f>C51*$D$33</f>
        <v>8127.8399999999992</v>
      </c>
      <c r="E51" s="10">
        <v>75</v>
      </c>
      <c r="F51" s="10">
        <f>E51*$D$33</f>
        <v>8850</v>
      </c>
      <c r="G51" s="2"/>
    </row>
    <row r="52" spans="1:8" x14ac:dyDescent="0.35">
      <c r="A52" s="9">
        <v>18</v>
      </c>
      <c r="B52" s="2"/>
      <c r="C52" s="10"/>
      <c r="D52" s="10">
        <f t="shared" si="2"/>
        <v>0</v>
      </c>
      <c r="E52" s="10"/>
      <c r="F52" s="10">
        <f t="shared" si="3"/>
        <v>0</v>
      </c>
      <c r="G52" s="2">
        <v>200</v>
      </c>
      <c r="H52" s="1" t="s">
        <v>222</v>
      </c>
    </row>
    <row r="53" spans="1:8" x14ac:dyDescent="0.35">
      <c r="A53" s="9"/>
      <c r="B53" s="5" t="s">
        <v>30</v>
      </c>
      <c r="C53" s="33">
        <f>SUM(C35:C52)</f>
        <v>300</v>
      </c>
      <c r="D53" s="33">
        <f>SUM(D35:D52)</f>
        <v>35400</v>
      </c>
      <c r="E53" s="33">
        <f>SUM(E35:E52)</f>
        <v>306.12</v>
      </c>
      <c r="F53" s="33">
        <f>SUM(F35:F52)</f>
        <v>36122.160000000003</v>
      </c>
      <c r="G53" s="4">
        <v>100</v>
      </c>
      <c r="H53" s="1" t="s">
        <v>221</v>
      </c>
    </row>
    <row r="54" spans="1:8" x14ac:dyDescent="0.35">
      <c r="A54" s="9"/>
      <c r="B54" s="2" t="s">
        <v>263</v>
      </c>
      <c r="C54" s="2">
        <v>118</v>
      </c>
      <c r="D54" s="10"/>
      <c r="E54" s="2"/>
      <c r="F54" s="10">
        <f t="shared" si="3"/>
        <v>0</v>
      </c>
      <c r="G54" s="41">
        <f>F53-D53-G52-G53</f>
        <v>422.16000000000349</v>
      </c>
      <c r="H54" s="1" t="s">
        <v>239</v>
      </c>
    </row>
    <row r="55" spans="1:8" x14ac:dyDescent="0.35">
      <c r="A55" s="9"/>
      <c r="B55" s="2"/>
      <c r="C55" s="2"/>
      <c r="D55" s="10"/>
      <c r="E55" s="2"/>
      <c r="F55" s="10">
        <f t="shared" si="3"/>
        <v>0</v>
      </c>
      <c r="G55" s="2"/>
    </row>
    <row r="56" spans="1:8" x14ac:dyDescent="0.35">
      <c r="A56" s="9"/>
      <c r="B56" s="2"/>
      <c r="C56" s="2"/>
      <c r="D56" s="10"/>
      <c r="E56" s="2"/>
      <c r="F56" s="10">
        <f t="shared" si="3"/>
        <v>0</v>
      </c>
      <c r="G56" s="2"/>
    </row>
    <row r="57" spans="1:8" x14ac:dyDescent="0.35">
      <c r="A57" s="9"/>
      <c r="B57" s="2"/>
      <c r="C57" s="2"/>
      <c r="D57" s="2"/>
      <c r="E57" s="2"/>
      <c r="F57" s="2"/>
      <c r="G57" s="2"/>
    </row>
    <row r="58" spans="1:8" x14ac:dyDescent="0.35">
      <c r="A58" s="9"/>
      <c r="B58" s="2" t="s">
        <v>25</v>
      </c>
      <c r="C58" s="2"/>
      <c r="D58" s="2"/>
      <c r="E58" s="2"/>
      <c r="F58" s="2"/>
      <c r="G58" s="2"/>
    </row>
    <row r="59" spans="1:8" x14ac:dyDescent="0.35">
      <c r="A59" s="9"/>
      <c r="B59" s="2" t="s">
        <v>155</v>
      </c>
      <c r="C59" s="2" t="s">
        <v>265</v>
      </c>
      <c r="D59" s="2"/>
      <c r="E59" s="2"/>
      <c r="F59" s="2"/>
      <c r="G59" s="2"/>
    </row>
    <row r="60" spans="1:8" x14ac:dyDescent="0.35">
      <c r="A60" s="9"/>
      <c r="B60" s="2" t="s">
        <v>24</v>
      </c>
      <c r="C60" s="2" t="s">
        <v>178</v>
      </c>
      <c r="D60" s="2"/>
      <c r="E60" s="2"/>
      <c r="F60" s="2"/>
      <c r="G60" s="2"/>
    </row>
    <row r="62" spans="1:8" x14ac:dyDescent="0.35">
      <c r="C62" s="36">
        <f>300-C53</f>
        <v>0</v>
      </c>
    </row>
    <row r="63" spans="1:8" s="7" customFormat="1" ht="27" customHeight="1" x14ac:dyDescent="0.35">
      <c r="A63" s="6" t="s">
        <v>0</v>
      </c>
      <c r="B63" s="6" t="s">
        <v>273</v>
      </c>
      <c r="C63" s="6" t="s">
        <v>246</v>
      </c>
      <c r="D63" s="6">
        <v>250</v>
      </c>
      <c r="E63" s="6"/>
      <c r="F63" s="6">
        <f>D63*50</f>
        <v>12500</v>
      </c>
      <c r="G63" s="6">
        <f>250*50+100+100</f>
        <v>12700</v>
      </c>
    </row>
    <row r="64" spans="1:8" s="7" customFormat="1" ht="55.5" customHeight="1" x14ac:dyDescent="0.35">
      <c r="A64" s="8" t="s">
        <v>2</v>
      </c>
      <c r="B64" s="8" t="s">
        <v>6</v>
      </c>
      <c r="C64" s="8" t="s">
        <v>343</v>
      </c>
      <c r="D64" s="27" t="s">
        <v>235</v>
      </c>
      <c r="E64" s="27" t="s">
        <v>242</v>
      </c>
      <c r="F64" s="27" t="s">
        <v>232</v>
      </c>
      <c r="G64" s="27" t="s">
        <v>4</v>
      </c>
    </row>
    <row r="65" spans="1:7" x14ac:dyDescent="0.35">
      <c r="A65" s="9">
        <v>1</v>
      </c>
      <c r="B65" s="2" t="s">
        <v>274</v>
      </c>
      <c r="C65" s="10">
        <v>15</v>
      </c>
      <c r="D65" s="10">
        <f>C65*$D$63</f>
        <v>3750</v>
      </c>
      <c r="E65" s="10">
        <v>15</v>
      </c>
      <c r="F65" s="10">
        <f>E65*$D$63</f>
        <v>3750</v>
      </c>
      <c r="G65" s="2"/>
    </row>
    <row r="66" spans="1:7" x14ac:dyDescent="0.35">
      <c r="A66" s="9">
        <v>2</v>
      </c>
      <c r="B66" s="2" t="s">
        <v>275</v>
      </c>
      <c r="C66" s="10">
        <v>2.5</v>
      </c>
      <c r="D66" s="10">
        <f t="shared" ref="D66:D82" si="4">C66*$D$63</f>
        <v>625</v>
      </c>
      <c r="E66" s="10">
        <v>2.5</v>
      </c>
      <c r="F66" s="10">
        <f t="shared" ref="F66:F86" si="5">E66*$D$63</f>
        <v>625</v>
      </c>
      <c r="G66" s="2"/>
    </row>
    <row r="67" spans="1:7" x14ac:dyDescent="0.35">
      <c r="A67" s="9">
        <v>3</v>
      </c>
      <c r="B67" s="15" t="s">
        <v>276</v>
      </c>
      <c r="C67" s="10">
        <v>7.5</v>
      </c>
      <c r="D67" s="10">
        <f t="shared" si="4"/>
        <v>1875</v>
      </c>
      <c r="E67" s="10">
        <v>7.5</v>
      </c>
      <c r="F67" s="10">
        <f t="shared" si="5"/>
        <v>1875</v>
      </c>
      <c r="G67" s="2"/>
    </row>
    <row r="68" spans="1:7" x14ac:dyDescent="0.35">
      <c r="A68" s="9">
        <v>4</v>
      </c>
      <c r="B68" s="2" t="s">
        <v>277</v>
      </c>
      <c r="C68" s="10">
        <v>1.5</v>
      </c>
      <c r="D68" s="10">
        <f t="shared" si="4"/>
        <v>375</v>
      </c>
      <c r="E68" s="10">
        <v>1.5</v>
      </c>
      <c r="F68" s="10">
        <f t="shared" si="5"/>
        <v>375</v>
      </c>
      <c r="G68" s="2"/>
    </row>
    <row r="69" spans="1:7" x14ac:dyDescent="0.35">
      <c r="A69" s="9">
        <v>5</v>
      </c>
      <c r="B69" s="2" t="s">
        <v>278</v>
      </c>
      <c r="C69" s="10">
        <v>5</v>
      </c>
      <c r="D69" s="10">
        <f t="shared" si="4"/>
        <v>1250</v>
      </c>
      <c r="E69" s="10">
        <v>5</v>
      </c>
      <c r="F69" s="10">
        <f t="shared" si="5"/>
        <v>1250</v>
      </c>
      <c r="G69" s="2"/>
    </row>
    <row r="70" spans="1:7" x14ac:dyDescent="0.35">
      <c r="A70" s="9">
        <v>6</v>
      </c>
      <c r="B70" s="2" t="s">
        <v>5</v>
      </c>
      <c r="C70" s="10">
        <v>2.5</v>
      </c>
      <c r="D70" s="10">
        <f t="shared" si="4"/>
        <v>625</v>
      </c>
      <c r="E70" s="10">
        <v>2.5</v>
      </c>
      <c r="F70" s="10">
        <f t="shared" si="5"/>
        <v>625</v>
      </c>
      <c r="G70" s="2"/>
    </row>
    <row r="71" spans="1:7" x14ac:dyDescent="0.35">
      <c r="A71" s="9">
        <v>7</v>
      </c>
      <c r="B71" s="2" t="s">
        <v>250</v>
      </c>
      <c r="C71" s="10">
        <v>5</v>
      </c>
      <c r="D71" s="10">
        <f t="shared" si="4"/>
        <v>1250</v>
      </c>
      <c r="E71" s="10">
        <v>5</v>
      </c>
      <c r="F71" s="10">
        <f t="shared" si="5"/>
        <v>1250</v>
      </c>
      <c r="G71" s="2"/>
    </row>
    <row r="72" spans="1:7" x14ac:dyDescent="0.35">
      <c r="A72" s="9">
        <v>8</v>
      </c>
      <c r="B72" s="2" t="s">
        <v>279</v>
      </c>
      <c r="C72" s="10">
        <v>5</v>
      </c>
      <c r="D72" s="10">
        <f t="shared" si="4"/>
        <v>1250</v>
      </c>
      <c r="E72" s="10">
        <v>5</v>
      </c>
      <c r="F72" s="10">
        <f t="shared" si="5"/>
        <v>1250</v>
      </c>
      <c r="G72" s="2"/>
    </row>
    <row r="73" spans="1:7" x14ac:dyDescent="0.35">
      <c r="A73" s="9">
        <v>9</v>
      </c>
      <c r="B73" s="2" t="s">
        <v>280</v>
      </c>
      <c r="C73" s="10">
        <v>0.05</v>
      </c>
      <c r="D73" s="10">
        <f t="shared" si="4"/>
        <v>12.5</v>
      </c>
      <c r="E73" s="10">
        <v>0.05</v>
      </c>
      <c r="F73" s="10">
        <f t="shared" si="5"/>
        <v>12.5</v>
      </c>
      <c r="G73" s="2"/>
    </row>
    <row r="74" spans="1:7" x14ac:dyDescent="0.35">
      <c r="A74" s="9">
        <v>10</v>
      </c>
      <c r="B74" s="2" t="s">
        <v>281</v>
      </c>
      <c r="C74" s="10">
        <v>0.05</v>
      </c>
      <c r="D74" s="10">
        <f t="shared" si="4"/>
        <v>12.5</v>
      </c>
      <c r="E74" s="10">
        <v>0.05</v>
      </c>
      <c r="F74" s="10">
        <f t="shared" si="5"/>
        <v>12.5</v>
      </c>
      <c r="G74" s="2"/>
    </row>
    <row r="75" spans="1:7" x14ac:dyDescent="0.35">
      <c r="A75" s="9">
        <v>11</v>
      </c>
      <c r="B75" s="2" t="s">
        <v>253</v>
      </c>
      <c r="C75" s="10">
        <v>0.25</v>
      </c>
      <c r="D75" s="10">
        <f t="shared" si="4"/>
        <v>62.5</v>
      </c>
      <c r="E75" s="10">
        <v>0.25</v>
      </c>
      <c r="F75" s="10">
        <f t="shared" si="5"/>
        <v>62.5</v>
      </c>
      <c r="G75" s="2"/>
    </row>
    <row r="76" spans="1:7" x14ac:dyDescent="0.35">
      <c r="A76" s="9">
        <v>12</v>
      </c>
      <c r="B76" s="14" t="s">
        <v>259</v>
      </c>
      <c r="C76" s="10">
        <v>0.25</v>
      </c>
      <c r="D76" s="10">
        <f t="shared" si="4"/>
        <v>62.5</v>
      </c>
      <c r="E76" s="10">
        <v>0.25</v>
      </c>
      <c r="F76" s="10">
        <f t="shared" si="5"/>
        <v>62.5</v>
      </c>
      <c r="G76" s="2"/>
    </row>
    <row r="77" spans="1:7" x14ac:dyDescent="0.35">
      <c r="A77" s="9">
        <v>13</v>
      </c>
      <c r="B77" s="2" t="s">
        <v>260</v>
      </c>
      <c r="C77" s="10">
        <v>0.1</v>
      </c>
      <c r="D77" s="10">
        <f t="shared" si="4"/>
        <v>25</v>
      </c>
      <c r="E77" s="10">
        <v>0.1</v>
      </c>
      <c r="F77" s="10">
        <f t="shared" si="5"/>
        <v>25</v>
      </c>
      <c r="G77" s="2"/>
    </row>
    <row r="78" spans="1:7" x14ac:dyDescent="0.35">
      <c r="A78" s="9">
        <v>14</v>
      </c>
      <c r="B78" s="2" t="s">
        <v>262</v>
      </c>
      <c r="C78" s="10">
        <v>0.5</v>
      </c>
      <c r="D78" s="10">
        <f t="shared" si="4"/>
        <v>125</v>
      </c>
      <c r="E78" s="10">
        <v>0.5</v>
      </c>
      <c r="F78" s="10">
        <f t="shared" si="5"/>
        <v>125</v>
      </c>
      <c r="G78" s="2"/>
    </row>
    <row r="79" spans="1:7" x14ac:dyDescent="0.35">
      <c r="A79" s="9">
        <v>15</v>
      </c>
      <c r="B79" s="2" t="s">
        <v>126</v>
      </c>
      <c r="C79" s="10">
        <v>0.25</v>
      </c>
      <c r="D79" s="10">
        <f t="shared" si="4"/>
        <v>62.5</v>
      </c>
      <c r="E79" s="10">
        <v>0.25</v>
      </c>
      <c r="F79" s="10">
        <f t="shared" si="5"/>
        <v>62.5</v>
      </c>
      <c r="G79" s="2"/>
    </row>
    <row r="80" spans="1:7" x14ac:dyDescent="0.35">
      <c r="A80" s="9">
        <v>16</v>
      </c>
      <c r="B80" s="2" t="s">
        <v>282</v>
      </c>
      <c r="C80" s="10">
        <v>0.05</v>
      </c>
      <c r="D80" s="10">
        <f t="shared" si="4"/>
        <v>12.5</v>
      </c>
      <c r="E80" s="10">
        <v>0.05</v>
      </c>
      <c r="F80" s="10">
        <f t="shared" si="5"/>
        <v>12.5</v>
      </c>
      <c r="G80" s="2"/>
    </row>
    <row r="81" spans="1:8" x14ac:dyDescent="0.35">
      <c r="A81" s="9">
        <v>17</v>
      </c>
      <c r="B81" s="2" t="s">
        <v>154</v>
      </c>
      <c r="C81" s="10">
        <v>4.5</v>
      </c>
      <c r="D81" s="10">
        <f t="shared" si="4"/>
        <v>1125</v>
      </c>
      <c r="E81" s="10">
        <v>5.4</v>
      </c>
      <c r="F81" s="10">
        <f t="shared" si="5"/>
        <v>1350</v>
      </c>
      <c r="G81" s="2"/>
    </row>
    <row r="82" spans="1:8" x14ac:dyDescent="0.35">
      <c r="A82" s="9">
        <v>18</v>
      </c>
      <c r="B82" s="2"/>
      <c r="C82" s="10"/>
      <c r="D82" s="10">
        <f t="shared" si="4"/>
        <v>0</v>
      </c>
      <c r="E82" s="10"/>
      <c r="F82" s="10">
        <f t="shared" si="5"/>
        <v>0</v>
      </c>
      <c r="G82" s="2">
        <v>100</v>
      </c>
      <c r="H82" s="1" t="s">
        <v>222</v>
      </c>
    </row>
    <row r="83" spans="1:8" x14ac:dyDescent="0.35">
      <c r="A83" s="9"/>
      <c r="B83" s="5" t="s">
        <v>30</v>
      </c>
      <c r="C83" s="33">
        <f>SUM(C65:C82)</f>
        <v>49.999999999999993</v>
      </c>
      <c r="D83" s="33">
        <f>SUM(D65:D82)</f>
        <v>12500</v>
      </c>
      <c r="E83" s="33">
        <f>SUM(E65:E82)</f>
        <v>50.899999999999991</v>
      </c>
      <c r="F83" s="33">
        <f>SUM(F65:F82)</f>
        <v>12725</v>
      </c>
      <c r="G83" s="4">
        <v>100</v>
      </c>
      <c r="H83" s="1" t="s">
        <v>221</v>
      </c>
    </row>
    <row r="84" spans="1:8" x14ac:dyDescent="0.35">
      <c r="A84" s="9"/>
      <c r="B84" s="2" t="s">
        <v>263</v>
      </c>
      <c r="C84" s="2">
        <v>250</v>
      </c>
      <c r="D84" s="10"/>
      <c r="E84" s="2"/>
      <c r="F84" s="10">
        <f t="shared" si="5"/>
        <v>0</v>
      </c>
      <c r="G84" s="41">
        <f>F83-D83-G82-G83</f>
        <v>25</v>
      </c>
      <c r="H84" s="1" t="s">
        <v>239</v>
      </c>
    </row>
    <row r="85" spans="1:8" x14ac:dyDescent="0.35">
      <c r="A85" s="9"/>
      <c r="B85" s="2"/>
      <c r="C85" s="2"/>
      <c r="D85" s="10"/>
      <c r="E85" s="2"/>
      <c r="F85" s="10">
        <f t="shared" si="5"/>
        <v>0</v>
      </c>
      <c r="G85" s="2"/>
    </row>
    <row r="86" spans="1:8" x14ac:dyDescent="0.35">
      <c r="A86" s="9"/>
      <c r="B86" s="2"/>
      <c r="C86" s="2"/>
      <c r="D86" s="10"/>
      <c r="E86" s="2"/>
      <c r="F86" s="10">
        <f t="shared" si="5"/>
        <v>0</v>
      </c>
      <c r="G86" s="2"/>
    </row>
    <row r="87" spans="1:8" x14ac:dyDescent="0.35">
      <c r="A87" s="9"/>
      <c r="B87" s="2"/>
      <c r="C87" s="2"/>
      <c r="D87" s="2"/>
      <c r="E87" s="2"/>
      <c r="F87" s="2"/>
      <c r="G87" s="2"/>
    </row>
    <row r="88" spans="1:8" x14ac:dyDescent="0.35">
      <c r="A88" s="9"/>
      <c r="B88" s="2" t="s">
        <v>25</v>
      </c>
      <c r="C88" s="2" t="s">
        <v>272</v>
      </c>
      <c r="D88" s="2"/>
      <c r="E88" s="2"/>
      <c r="F88" s="2"/>
      <c r="G88" s="2"/>
    </row>
    <row r="89" spans="1:8" x14ac:dyDescent="0.35">
      <c r="A89" s="9"/>
      <c r="B89" s="2" t="s">
        <v>155</v>
      </c>
      <c r="C89" s="2" t="s">
        <v>265</v>
      </c>
      <c r="D89" s="2"/>
      <c r="E89" s="2"/>
      <c r="F89" s="2"/>
      <c r="G89" s="2"/>
    </row>
    <row r="90" spans="1:8" x14ac:dyDescent="0.35">
      <c r="A90" s="9"/>
      <c r="B90" s="2" t="s">
        <v>24</v>
      </c>
      <c r="C90" s="2" t="s">
        <v>264</v>
      </c>
      <c r="D90" s="2"/>
      <c r="E90" s="2"/>
      <c r="F90" s="2"/>
      <c r="G90" s="2"/>
    </row>
    <row r="91" spans="1:8" x14ac:dyDescent="0.35">
      <c r="C91" s="36">
        <f>50-C83</f>
        <v>0</v>
      </c>
    </row>
    <row r="92" spans="1:8" s="7" customFormat="1" ht="27" customHeight="1" x14ac:dyDescent="0.35">
      <c r="A92" s="6" t="s">
        <v>0</v>
      </c>
      <c r="B92" s="6" t="s">
        <v>344</v>
      </c>
      <c r="C92" s="6" t="s">
        <v>345</v>
      </c>
      <c r="D92" s="6">
        <v>20000</v>
      </c>
      <c r="E92" s="6"/>
      <c r="F92" s="6">
        <f>D92*35</f>
        <v>700000</v>
      </c>
      <c r="G92" s="6">
        <f>20000*35+100+100</f>
        <v>700200</v>
      </c>
    </row>
    <row r="93" spans="1:8" s="7" customFormat="1" ht="55.5" customHeight="1" x14ac:dyDescent="0.35">
      <c r="A93" s="8" t="s">
        <v>2</v>
      </c>
      <c r="B93" s="8" t="s">
        <v>6</v>
      </c>
      <c r="C93" s="8" t="s">
        <v>346</v>
      </c>
      <c r="D93" s="27" t="s">
        <v>235</v>
      </c>
      <c r="E93" s="27" t="s">
        <v>347</v>
      </c>
      <c r="F93" s="27" t="s">
        <v>232</v>
      </c>
      <c r="G93" s="27" t="s">
        <v>4</v>
      </c>
    </row>
    <row r="94" spans="1:8" x14ac:dyDescent="0.35">
      <c r="A94" s="9">
        <v>1</v>
      </c>
      <c r="B94" s="13" t="s">
        <v>249</v>
      </c>
      <c r="C94" s="10">
        <v>0.35000000000000003</v>
      </c>
      <c r="D94" s="10">
        <f>C94*$D$92</f>
        <v>7000.0000000000009</v>
      </c>
      <c r="E94" s="10">
        <v>0.35000000000000003</v>
      </c>
      <c r="F94" s="10">
        <f>E94*$D$92</f>
        <v>7000.0000000000009</v>
      </c>
      <c r="G94" s="2"/>
    </row>
    <row r="95" spans="1:8" x14ac:dyDescent="0.35">
      <c r="A95" s="9">
        <v>2</v>
      </c>
      <c r="B95" s="13" t="s">
        <v>5</v>
      </c>
      <c r="C95" s="10">
        <v>1.75</v>
      </c>
      <c r="D95" s="10">
        <f t="shared" ref="D95:D111" si="6">C95*$D$92</f>
        <v>35000</v>
      </c>
      <c r="E95" s="10">
        <v>1.75</v>
      </c>
      <c r="F95" s="10">
        <f t="shared" ref="F95:F115" si="7">E95*$D$92</f>
        <v>35000</v>
      </c>
      <c r="G95" s="2"/>
    </row>
    <row r="96" spans="1:8" x14ac:dyDescent="0.35">
      <c r="A96" s="9">
        <v>3</v>
      </c>
      <c r="B96" s="54" t="s">
        <v>250</v>
      </c>
      <c r="C96" s="10">
        <v>0.70000000000000007</v>
      </c>
      <c r="D96" s="10">
        <f t="shared" si="6"/>
        <v>14000.000000000002</v>
      </c>
      <c r="E96" s="10">
        <v>0.70000000000000007</v>
      </c>
      <c r="F96" s="10">
        <f t="shared" si="7"/>
        <v>14000.000000000002</v>
      </c>
      <c r="G96" s="2"/>
    </row>
    <row r="97" spans="1:8" ht="28.5" x14ac:dyDescent="0.35">
      <c r="A97" s="9">
        <v>4</v>
      </c>
      <c r="B97" s="13" t="s">
        <v>286</v>
      </c>
      <c r="C97" s="10">
        <v>3.5000000000000003E-2</v>
      </c>
      <c r="D97" s="10">
        <f t="shared" si="6"/>
        <v>700.00000000000011</v>
      </c>
      <c r="E97" s="10">
        <v>3.5000000000000003E-2</v>
      </c>
      <c r="F97" s="10">
        <f t="shared" si="7"/>
        <v>700.00000000000011</v>
      </c>
      <c r="G97" s="2"/>
    </row>
    <row r="98" spans="1:8" ht="28.5" x14ac:dyDescent="0.35">
      <c r="A98" s="9">
        <v>5</v>
      </c>
      <c r="B98" s="13" t="s">
        <v>348</v>
      </c>
      <c r="C98" s="10">
        <v>7.0000000000000001E-3</v>
      </c>
      <c r="D98" s="10">
        <f t="shared" si="6"/>
        <v>140</v>
      </c>
      <c r="E98" s="10">
        <v>7.0000000000000001E-3</v>
      </c>
      <c r="F98" s="10">
        <f t="shared" si="7"/>
        <v>140</v>
      </c>
      <c r="G98" s="2"/>
    </row>
    <row r="99" spans="1:8" x14ac:dyDescent="0.35">
      <c r="A99" s="9">
        <v>6</v>
      </c>
      <c r="B99" s="13" t="s">
        <v>304</v>
      </c>
      <c r="C99" s="10">
        <v>7.0000000000000001E-3</v>
      </c>
      <c r="D99" s="10">
        <f t="shared" si="6"/>
        <v>140</v>
      </c>
      <c r="E99" s="10">
        <v>7.0000000000000001E-3</v>
      </c>
      <c r="F99" s="10">
        <f t="shared" si="7"/>
        <v>140</v>
      </c>
      <c r="G99" s="2"/>
    </row>
    <row r="100" spans="1:8" x14ac:dyDescent="0.35">
      <c r="A100" s="9">
        <v>7</v>
      </c>
      <c r="B100" s="13" t="s">
        <v>281</v>
      </c>
      <c r="C100" s="10">
        <v>7.0000000000000001E-3</v>
      </c>
      <c r="D100" s="10">
        <f t="shared" si="6"/>
        <v>140</v>
      </c>
      <c r="E100" s="10">
        <v>7.0000000000000001E-3</v>
      </c>
      <c r="F100" s="10">
        <f t="shared" si="7"/>
        <v>140</v>
      </c>
      <c r="G100" s="2"/>
    </row>
    <row r="101" spans="1:8" x14ac:dyDescent="0.35">
      <c r="A101" s="9">
        <v>8</v>
      </c>
      <c r="B101" s="13" t="s">
        <v>349</v>
      </c>
      <c r="C101" s="10">
        <v>7.0000000000000001E-3</v>
      </c>
      <c r="D101" s="10">
        <f t="shared" si="6"/>
        <v>140</v>
      </c>
      <c r="E101" s="10">
        <v>7.0000000000000001E-3</v>
      </c>
      <c r="F101" s="10">
        <f t="shared" si="7"/>
        <v>140</v>
      </c>
      <c r="G101" s="2"/>
    </row>
    <row r="102" spans="1:8" x14ac:dyDescent="0.35">
      <c r="A102" s="9">
        <v>9</v>
      </c>
      <c r="B102" s="13" t="s">
        <v>260</v>
      </c>
      <c r="C102" s="10">
        <v>7.0000000000000007E-2</v>
      </c>
      <c r="D102" s="10">
        <f t="shared" si="6"/>
        <v>1400.0000000000002</v>
      </c>
      <c r="E102" s="10">
        <v>7.0000000000000007E-2</v>
      </c>
      <c r="F102" s="10">
        <f t="shared" si="7"/>
        <v>1400.0000000000002</v>
      </c>
      <c r="G102" s="2"/>
    </row>
    <row r="103" spans="1:8" x14ac:dyDescent="0.35">
      <c r="A103" s="9">
        <v>10</v>
      </c>
      <c r="B103" s="13" t="s">
        <v>259</v>
      </c>
      <c r="C103" s="10">
        <v>7.0000000000000007E-2</v>
      </c>
      <c r="D103" s="10">
        <f t="shared" si="6"/>
        <v>1400.0000000000002</v>
      </c>
      <c r="E103" s="10">
        <v>7.0000000000000007E-2</v>
      </c>
      <c r="F103" s="10">
        <f t="shared" si="7"/>
        <v>1400.0000000000002</v>
      </c>
      <c r="G103" s="2"/>
    </row>
    <row r="104" spans="1:8" x14ac:dyDescent="0.35">
      <c r="A104" s="9">
        <v>11</v>
      </c>
      <c r="B104" s="13" t="s">
        <v>306</v>
      </c>
      <c r="C104" s="10">
        <v>7.0000000000000001E-3</v>
      </c>
      <c r="D104" s="10">
        <f t="shared" si="6"/>
        <v>140</v>
      </c>
      <c r="E104" s="10">
        <v>7.0000000000000001E-3</v>
      </c>
      <c r="F104" s="10">
        <f t="shared" si="7"/>
        <v>140</v>
      </c>
      <c r="G104" s="2"/>
    </row>
    <row r="105" spans="1:8" x14ac:dyDescent="0.35">
      <c r="A105" s="9">
        <v>12</v>
      </c>
      <c r="B105" s="55" t="s">
        <v>350</v>
      </c>
      <c r="C105" s="10">
        <v>0.35000000000000003</v>
      </c>
      <c r="D105" s="10">
        <f t="shared" si="6"/>
        <v>7000.0000000000009</v>
      </c>
      <c r="E105" s="10">
        <v>0.35000000000000003</v>
      </c>
      <c r="F105" s="10">
        <f t="shared" si="7"/>
        <v>7000.0000000000009</v>
      </c>
      <c r="G105" s="2"/>
    </row>
    <row r="106" spans="1:8" x14ac:dyDescent="0.35">
      <c r="A106" s="9">
        <v>13</v>
      </c>
      <c r="B106" s="13" t="s">
        <v>291</v>
      </c>
      <c r="C106" s="10">
        <v>0.17500000000000002</v>
      </c>
      <c r="D106" s="10">
        <f t="shared" si="6"/>
        <v>3500.0000000000005</v>
      </c>
      <c r="E106" s="10">
        <v>0.17500000000000002</v>
      </c>
      <c r="F106" s="10">
        <f t="shared" si="7"/>
        <v>3500.0000000000005</v>
      </c>
      <c r="G106" s="2"/>
    </row>
    <row r="107" spans="1:8" x14ac:dyDescent="0.35">
      <c r="A107" s="9">
        <v>14</v>
      </c>
      <c r="B107" s="13" t="s">
        <v>351</v>
      </c>
      <c r="C107" s="10">
        <v>2.4500000000000004E-2</v>
      </c>
      <c r="D107" s="10">
        <f t="shared" si="6"/>
        <v>490.00000000000011</v>
      </c>
      <c r="E107" s="10">
        <v>2.4500000000000004E-2</v>
      </c>
      <c r="F107" s="10">
        <f t="shared" si="7"/>
        <v>490.00000000000011</v>
      </c>
      <c r="G107" s="2"/>
    </row>
    <row r="108" spans="1:8" x14ac:dyDescent="0.35">
      <c r="A108" s="9">
        <v>15</v>
      </c>
      <c r="B108" s="13" t="s">
        <v>154</v>
      </c>
      <c r="C108" s="10">
        <v>31.4405</v>
      </c>
      <c r="D108" s="10">
        <f t="shared" si="6"/>
        <v>628810</v>
      </c>
      <c r="E108" s="10">
        <v>31.6</v>
      </c>
      <c r="F108" s="10">
        <f t="shared" si="7"/>
        <v>632000</v>
      </c>
      <c r="G108" s="2" t="s">
        <v>398</v>
      </c>
    </row>
    <row r="109" spans="1:8" x14ac:dyDescent="0.35">
      <c r="A109" s="9">
        <v>16</v>
      </c>
      <c r="B109" s="2"/>
      <c r="C109" s="10"/>
      <c r="D109" s="10">
        <f t="shared" si="6"/>
        <v>0</v>
      </c>
      <c r="E109" s="10"/>
      <c r="F109" s="10">
        <f t="shared" si="7"/>
        <v>0</v>
      </c>
      <c r="G109" s="2"/>
    </row>
    <row r="110" spans="1:8" x14ac:dyDescent="0.35">
      <c r="A110" s="9">
        <v>17</v>
      </c>
      <c r="B110" s="2"/>
      <c r="C110" s="10"/>
      <c r="D110" s="10">
        <f t="shared" si="6"/>
        <v>0</v>
      </c>
      <c r="E110" s="10"/>
      <c r="F110" s="10">
        <f t="shared" si="7"/>
        <v>0</v>
      </c>
      <c r="G110" s="2"/>
    </row>
    <row r="111" spans="1:8" x14ac:dyDescent="0.35">
      <c r="A111" s="9">
        <v>18</v>
      </c>
      <c r="B111" s="2"/>
      <c r="C111" s="10"/>
      <c r="D111" s="10">
        <f t="shared" si="6"/>
        <v>0</v>
      </c>
      <c r="E111" s="10"/>
      <c r="F111" s="10">
        <f t="shared" si="7"/>
        <v>0</v>
      </c>
      <c r="G111" s="2">
        <v>100</v>
      </c>
      <c r="H111" s="1" t="s">
        <v>222</v>
      </c>
    </row>
    <row r="112" spans="1:8" x14ac:dyDescent="0.35">
      <c r="A112" s="9"/>
      <c r="B112" s="5" t="s">
        <v>30</v>
      </c>
      <c r="C112" s="33">
        <f>SUM(C94:C111)</f>
        <v>35</v>
      </c>
      <c r="D112" s="33">
        <f t="shared" ref="D112:F112" si="8">SUM(D94:D111)</f>
        <v>700000</v>
      </c>
      <c r="E112" s="33">
        <f t="shared" si="8"/>
        <v>35.159500000000001</v>
      </c>
      <c r="F112" s="33">
        <f t="shared" si="8"/>
        <v>703190</v>
      </c>
      <c r="G112" s="4">
        <v>100</v>
      </c>
      <c r="H112" s="1" t="s">
        <v>221</v>
      </c>
    </row>
    <row r="113" spans="1:8" x14ac:dyDescent="0.35">
      <c r="A113" s="9"/>
      <c r="B113" s="2" t="s">
        <v>352</v>
      </c>
      <c r="C113" s="18">
        <v>20000</v>
      </c>
      <c r="D113" s="10"/>
      <c r="E113" s="2"/>
      <c r="F113" s="10">
        <f t="shared" si="7"/>
        <v>0</v>
      </c>
      <c r="G113" s="41">
        <f>F112-D112-G111-G112</f>
        <v>2990</v>
      </c>
      <c r="H113" s="1" t="s">
        <v>239</v>
      </c>
    </row>
    <row r="114" spans="1:8" x14ac:dyDescent="0.35">
      <c r="A114" s="9"/>
      <c r="B114" s="2" t="s">
        <v>353</v>
      </c>
      <c r="C114" s="18"/>
      <c r="D114" s="10"/>
      <c r="E114" s="2"/>
      <c r="F114" s="10">
        <f t="shared" si="7"/>
        <v>0</v>
      </c>
      <c r="G114" s="2"/>
    </row>
    <row r="115" spans="1:8" x14ac:dyDescent="0.35">
      <c r="A115" s="9"/>
      <c r="B115" s="2" t="s">
        <v>354</v>
      </c>
      <c r="C115" s="18"/>
      <c r="D115" s="10"/>
      <c r="E115" s="2"/>
      <c r="F115" s="10">
        <f t="shared" si="7"/>
        <v>0</v>
      </c>
      <c r="G115" s="2"/>
    </row>
    <row r="116" spans="1:8" x14ac:dyDescent="0.35">
      <c r="A116" s="9"/>
      <c r="B116" s="2" t="s">
        <v>355</v>
      </c>
      <c r="C116" s="18">
        <v>66</v>
      </c>
      <c r="D116" s="2"/>
      <c r="E116" s="2"/>
      <c r="F116" s="2"/>
      <c r="G116" s="2"/>
    </row>
    <row r="117" spans="1:8" x14ac:dyDescent="0.35">
      <c r="A117" s="9"/>
      <c r="B117" s="2" t="s">
        <v>356</v>
      </c>
      <c r="C117" s="18">
        <v>900</v>
      </c>
      <c r="D117" s="2"/>
      <c r="E117" s="2"/>
      <c r="F117" s="2"/>
      <c r="G117" s="2"/>
    </row>
    <row r="118" spans="1:8" x14ac:dyDescent="0.35">
      <c r="A118" s="9"/>
      <c r="B118" s="2" t="s">
        <v>263</v>
      </c>
      <c r="C118" s="18"/>
      <c r="D118" s="2"/>
      <c r="E118" s="2"/>
      <c r="F118" s="2"/>
      <c r="G118" s="2"/>
    </row>
    <row r="119" spans="1:8" x14ac:dyDescent="0.35">
      <c r="A119" s="9"/>
      <c r="B119" s="2"/>
      <c r="C119" s="18"/>
      <c r="D119" s="2"/>
      <c r="E119" s="2"/>
      <c r="F119" s="2"/>
      <c r="G119" s="2"/>
    </row>
    <row r="121" spans="1:8" x14ac:dyDescent="0.35">
      <c r="C121" s="36"/>
    </row>
  </sheetData>
  <mergeCells count="2">
    <mergeCell ref="A1:G1"/>
    <mergeCell ref="A2:G2"/>
  </mergeCells>
  <pageMargins left="0.31496062992125984" right="0.31496062992125984" top="0.74803149606299213" bottom="0.74803149606299213" header="0.31496062992125984" footer="0.31496062992125984"/>
  <pageSetup paperSize="9" scale="85" orientation="landscape" horizontalDpi="203" verticalDpi="20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6"/>
  <sheetViews>
    <sheetView showGridLines="0" topLeftCell="A26" zoomScale="55" zoomScaleNormal="55" workbookViewId="0">
      <selection activeCell="H19" sqref="H19"/>
    </sheetView>
  </sheetViews>
  <sheetFormatPr defaultColWidth="8.81640625" defaultRowHeight="14.5" x14ac:dyDescent="0.35"/>
  <cols>
    <col min="1" max="1" width="16.81640625" style="7" customWidth="1"/>
    <col min="2" max="2" width="100.1796875" style="1" customWidth="1"/>
    <col min="3" max="3" width="22.54296875" style="24" customWidth="1"/>
    <col min="4" max="4" width="19.08984375" style="20" bestFit="1" customWidth="1"/>
    <col min="5" max="5" width="15.90625" style="20" customWidth="1"/>
    <col min="6" max="6" width="17.90625" style="20" customWidth="1"/>
    <col min="7" max="7" width="23.36328125" style="1" customWidth="1"/>
    <col min="8" max="8" width="9.1796875" style="1" bestFit="1" customWidth="1"/>
    <col min="9" max="16384" width="8.81640625" style="1"/>
  </cols>
  <sheetData>
    <row r="1" spans="1:8" ht="25.5" customHeight="1" x14ac:dyDescent="0.4">
      <c r="A1" s="57" t="s">
        <v>31</v>
      </c>
      <c r="B1" s="57"/>
      <c r="C1" s="57"/>
      <c r="D1" s="57"/>
      <c r="E1" s="57"/>
      <c r="F1" s="57"/>
    </row>
    <row r="2" spans="1:8" x14ac:dyDescent="0.35">
      <c r="A2" s="58"/>
      <c r="B2" s="58"/>
      <c r="C2" s="58"/>
      <c r="D2" s="58"/>
      <c r="E2" s="58"/>
      <c r="F2" s="58"/>
    </row>
    <row r="3" spans="1:8" s="7" customFormat="1" ht="27" customHeight="1" x14ac:dyDescent="0.35">
      <c r="A3" s="6" t="s">
        <v>0</v>
      </c>
      <c r="B3" s="6" t="s">
        <v>283</v>
      </c>
      <c r="C3" s="21" t="s">
        <v>284</v>
      </c>
      <c r="D3" s="17" t="s">
        <v>219</v>
      </c>
      <c r="E3" s="17">
        <v>2000</v>
      </c>
      <c r="F3" s="17">
        <v>2026</v>
      </c>
      <c r="G3" s="28">
        <f>2026*100</f>
        <v>202600</v>
      </c>
      <c r="H3" s="28"/>
    </row>
    <row r="4" spans="1:8" s="7" customFormat="1" ht="53" customHeight="1" x14ac:dyDescent="0.35">
      <c r="A4" s="8" t="s">
        <v>2</v>
      </c>
      <c r="B4" s="8" t="s">
        <v>6</v>
      </c>
      <c r="C4" s="25" t="s">
        <v>41</v>
      </c>
      <c r="D4" s="27" t="s">
        <v>230</v>
      </c>
      <c r="E4" s="27" t="s">
        <v>220</v>
      </c>
      <c r="F4" s="27" t="s">
        <v>295</v>
      </c>
      <c r="G4" s="26" t="s">
        <v>4</v>
      </c>
    </row>
    <row r="5" spans="1:8" x14ac:dyDescent="0.35">
      <c r="A5" s="9">
        <v>1</v>
      </c>
      <c r="B5" s="2" t="s">
        <v>285</v>
      </c>
      <c r="C5" s="22">
        <v>0.49</v>
      </c>
      <c r="D5" s="47">
        <f t="shared" ref="D5:D22" si="0">C5*$E$3</f>
        <v>980</v>
      </c>
      <c r="E5" s="22">
        <v>0.49</v>
      </c>
      <c r="F5" s="22">
        <f>E5*$F$3</f>
        <v>992.74</v>
      </c>
      <c r="G5" s="2"/>
    </row>
    <row r="6" spans="1:8" x14ac:dyDescent="0.35">
      <c r="A6" s="9">
        <v>2</v>
      </c>
      <c r="B6" s="2" t="s">
        <v>5</v>
      </c>
      <c r="C6" s="22">
        <v>2.5</v>
      </c>
      <c r="D6" s="47">
        <f t="shared" si="0"/>
        <v>5000</v>
      </c>
      <c r="E6" s="22">
        <v>2.5</v>
      </c>
      <c r="F6" s="22">
        <f t="shared" ref="F6:F21" si="1">E6*$F$3</f>
        <v>5065</v>
      </c>
      <c r="G6" s="2"/>
    </row>
    <row r="7" spans="1:8" x14ac:dyDescent="0.35">
      <c r="A7" s="9">
        <v>3</v>
      </c>
      <c r="B7" s="2" t="s">
        <v>286</v>
      </c>
      <c r="C7" s="22">
        <v>0.05</v>
      </c>
      <c r="D7" s="47">
        <f t="shared" si="0"/>
        <v>100</v>
      </c>
      <c r="E7" s="22">
        <v>0.05</v>
      </c>
      <c r="F7" s="22">
        <f t="shared" si="1"/>
        <v>101.30000000000001</v>
      </c>
      <c r="G7" s="2"/>
    </row>
    <row r="8" spans="1:8" x14ac:dyDescent="0.35">
      <c r="A8" s="9">
        <v>4</v>
      </c>
      <c r="B8" s="2" t="s">
        <v>252</v>
      </c>
      <c r="C8" s="22">
        <v>0.05</v>
      </c>
      <c r="D8" s="47">
        <f t="shared" si="0"/>
        <v>100</v>
      </c>
      <c r="E8" s="22">
        <v>0.05</v>
      </c>
      <c r="F8" s="22">
        <f t="shared" si="1"/>
        <v>101.30000000000001</v>
      </c>
      <c r="G8" s="2"/>
    </row>
    <row r="9" spans="1:8" x14ac:dyDescent="0.35">
      <c r="A9" s="9">
        <v>5</v>
      </c>
      <c r="B9" s="2" t="s">
        <v>287</v>
      </c>
      <c r="C9" s="22">
        <v>0.02</v>
      </c>
      <c r="D9" s="47">
        <f t="shared" si="0"/>
        <v>40</v>
      </c>
      <c r="E9" s="22">
        <v>0.02</v>
      </c>
      <c r="F9" s="22">
        <f t="shared" si="1"/>
        <v>40.520000000000003</v>
      </c>
      <c r="G9" s="2"/>
    </row>
    <row r="10" spans="1:8" x14ac:dyDescent="0.35">
      <c r="A10" s="9">
        <v>6</v>
      </c>
      <c r="B10" s="2" t="s">
        <v>288</v>
      </c>
      <c r="C10" s="22">
        <v>0.03</v>
      </c>
      <c r="D10" s="47">
        <f t="shared" si="0"/>
        <v>60</v>
      </c>
      <c r="E10" s="22">
        <v>0.03</v>
      </c>
      <c r="F10" s="22">
        <f t="shared" si="1"/>
        <v>60.78</v>
      </c>
      <c r="G10" s="2"/>
    </row>
    <row r="11" spans="1:8" x14ac:dyDescent="0.35">
      <c r="A11" s="9">
        <v>7</v>
      </c>
      <c r="B11" s="2" t="s">
        <v>289</v>
      </c>
      <c r="C11" s="22">
        <v>1</v>
      </c>
      <c r="D11" s="47">
        <f t="shared" si="0"/>
        <v>2000</v>
      </c>
      <c r="E11" s="22">
        <v>1</v>
      </c>
      <c r="F11" s="22">
        <f t="shared" si="1"/>
        <v>2026</v>
      </c>
      <c r="G11" s="2"/>
    </row>
    <row r="12" spans="1:8" x14ac:dyDescent="0.35">
      <c r="A12" s="9">
        <v>8</v>
      </c>
      <c r="B12" s="2" t="s">
        <v>249</v>
      </c>
      <c r="C12" s="22">
        <v>1</v>
      </c>
      <c r="D12" s="47">
        <f t="shared" si="0"/>
        <v>2000</v>
      </c>
      <c r="E12" s="22">
        <v>1</v>
      </c>
      <c r="F12" s="22">
        <f t="shared" si="1"/>
        <v>2026</v>
      </c>
      <c r="G12" s="2"/>
    </row>
    <row r="13" spans="1:8" x14ac:dyDescent="0.35">
      <c r="A13" s="9">
        <v>9</v>
      </c>
      <c r="B13" s="2" t="s">
        <v>290</v>
      </c>
      <c r="C13" s="22">
        <v>0.01</v>
      </c>
      <c r="D13" s="47">
        <f t="shared" si="0"/>
        <v>20</v>
      </c>
      <c r="E13" s="22">
        <v>0.01</v>
      </c>
      <c r="F13" s="22">
        <f t="shared" si="1"/>
        <v>20.260000000000002</v>
      </c>
      <c r="G13" s="2"/>
    </row>
    <row r="14" spans="1:8" x14ac:dyDescent="0.35">
      <c r="A14" s="9">
        <v>10</v>
      </c>
      <c r="B14" s="2" t="s">
        <v>260</v>
      </c>
      <c r="C14" s="22">
        <v>0.2</v>
      </c>
      <c r="D14" s="47">
        <f t="shared" si="0"/>
        <v>400</v>
      </c>
      <c r="E14" s="22">
        <v>0.2</v>
      </c>
      <c r="F14" s="22">
        <f t="shared" si="1"/>
        <v>405.20000000000005</v>
      </c>
      <c r="G14" s="2"/>
    </row>
    <row r="15" spans="1:8" x14ac:dyDescent="0.35">
      <c r="A15" s="9">
        <v>11</v>
      </c>
      <c r="B15" s="2" t="s">
        <v>259</v>
      </c>
      <c r="C15" s="22">
        <v>0.5</v>
      </c>
      <c r="D15" s="47">
        <f t="shared" si="0"/>
        <v>1000</v>
      </c>
      <c r="E15" s="22">
        <v>0.5</v>
      </c>
      <c r="F15" s="22">
        <f t="shared" si="1"/>
        <v>1013</v>
      </c>
      <c r="G15" s="2"/>
    </row>
    <row r="16" spans="1:8" x14ac:dyDescent="0.35">
      <c r="A16" s="9">
        <v>12</v>
      </c>
      <c r="B16" s="2" t="s">
        <v>291</v>
      </c>
      <c r="C16" s="22">
        <v>0.2</v>
      </c>
      <c r="D16" s="47">
        <f t="shared" si="0"/>
        <v>400</v>
      </c>
      <c r="E16" s="22">
        <v>0.2</v>
      </c>
      <c r="F16" s="22">
        <f t="shared" si="1"/>
        <v>405.20000000000005</v>
      </c>
      <c r="G16" s="2"/>
    </row>
    <row r="17" spans="1:8" x14ac:dyDescent="0.35">
      <c r="A17" s="9">
        <v>13</v>
      </c>
      <c r="B17" s="2" t="s">
        <v>262</v>
      </c>
      <c r="C17" s="22">
        <v>0.03</v>
      </c>
      <c r="D17" s="47">
        <f t="shared" si="0"/>
        <v>60</v>
      </c>
      <c r="E17" s="22">
        <v>0.03</v>
      </c>
      <c r="F17" s="22">
        <f t="shared" si="1"/>
        <v>60.78</v>
      </c>
      <c r="G17" s="2"/>
    </row>
    <row r="18" spans="1:8" x14ac:dyDescent="0.35">
      <c r="A18" s="9">
        <v>14</v>
      </c>
      <c r="B18" s="2" t="s">
        <v>126</v>
      </c>
      <c r="C18" s="22">
        <v>0.05</v>
      </c>
      <c r="D18" s="47">
        <f t="shared" si="0"/>
        <v>100</v>
      </c>
      <c r="E18" s="22">
        <v>0.05</v>
      </c>
      <c r="F18" s="22">
        <f t="shared" si="1"/>
        <v>101.30000000000001</v>
      </c>
      <c r="G18" s="2"/>
    </row>
    <row r="19" spans="1:8" x14ac:dyDescent="0.35">
      <c r="A19" s="9">
        <v>15</v>
      </c>
      <c r="B19" s="2" t="s">
        <v>154</v>
      </c>
      <c r="C19" s="22">
        <v>93.87</v>
      </c>
      <c r="D19" s="47">
        <f>C19*$E$3</f>
        <v>187740</v>
      </c>
      <c r="E19" s="22">
        <v>94.22</v>
      </c>
      <c r="F19" s="22">
        <f>E19*$F$3</f>
        <v>190889.72</v>
      </c>
      <c r="G19" s="2" t="s">
        <v>403</v>
      </c>
    </row>
    <row r="20" spans="1:8" x14ac:dyDescent="0.35">
      <c r="A20" s="9">
        <v>16</v>
      </c>
      <c r="B20" s="2"/>
      <c r="C20" s="22"/>
      <c r="D20" s="47">
        <f t="shared" si="0"/>
        <v>0</v>
      </c>
      <c r="E20" s="18"/>
      <c r="F20" s="22">
        <f>E20*$F$3</f>
        <v>0</v>
      </c>
      <c r="G20" s="2"/>
    </row>
    <row r="21" spans="1:8" x14ac:dyDescent="0.35">
      <c r="A21" s="9">
        <v>17</v>
      </c>
      <c r="B21" s="2"/>
      <c r="C21" s="22"/>
      <c r="D21" s="47">
        <f t="shared" si="0"/>
        <v>0</v>
      </c>
      <c r="E21" s="18"/>
      <c r="F21" s="18">
        <f t="shared" si="1"/>
        <v>0</v>
      </c>
      <c r="G21" s="2"/>
    </row>
    <row r="22" spans="1:8" x14ac:dyDescent="0.35">
      <c r="A22" s="9"/>
      <c r="B22" s="5" t="s">
        <v>30</v>
      </c>
      <c r="C22" s="23">
        <f>SUM(C5:C21)</f>
        <v>100</v>
      </c>
      <c r="D22" s="23">
        <f t="shared" si="0"/>
        <v>200000</v>
      </c>
      <c r="E22" s="23">
        <f>SUM(E5:E21)</f>
        <v>100.35</v>
      </c>
      <c r="F22" s="23">
        <f>SUM(F5:F21)</f>
        <v>203309.1</v>
      </c>
      <c r="G22" s="12">
        <v>100</v>
      </c>
      <c r="H22" s="1" t="s">
        <v>221</v>
      </c>
    </row>
    <row r="23" spans="1:8" x14ac:dyDescent="0.35">
      <c r="A23" s="9"/>
      <c r="B23" s="2" t="s">
        <v>292</v>
      </c>
      <c r="C23" s="22">
        <v>1</v>
      </c>
      <c r="D23" s="18"/>
      <c r="E23" s="18"/>
      <c r="F23" s="18"/>
      <c r="G23" s="12">
        <v>200</v>
      </c>
      <c r="H23" s="1" t="s">
        <v>222</v>
      </c>
    </row>
    <row r="24" spans="1:8" x14ac:dyDescent="0.35">
      <c r="A24" s="9"/>
      <c r="B24" s="2" t="s">
        <v>293</v>
      </c>
      <c r="C24" s="22">
        <v>1</v>
      </c>
      <c r="D24" s="18"/>
      <c r="E24" s="18"/>
      <c r="F24" s="18"/>
      <c r="G24" s="12">
        <f>F22-G22-G23-G3</f>
        <v>409.10000000000582</v>
      </c>
      <c r="H24" s="1" t="s">
        <v>223</v>
      </c>
    </row>
    <row r="25" spans="1:8" x14ac:dyDescent="0.35">
      <c r="A25" s="9"/>
      <c r="B25" s="2" t="s">
        <v>294</v>
      </c>
      <c r="C25" s="22">
        <v>1</v>
      </c>
      <c r="D25" s="18"/>
      <c r="E25" s="18"/>
      <c r="F25" s="18">
        <f>F22-100</f>
        <v>203209.1</v>
      </c>
      <c r="G25" s="12"/>
    </row>
    <row r="26" spans="1:8" x14ac:dyDescent="0.35">
      <c r="A26" s="9"/>
      <c r="B26" s="2"/>
      <c r="C26" s="22"/>
      <c r="D26" s="18"/>
      <c r="E26" s="18"/>
      <c r="F26" s="18"/>
      <c r="G26" s="12"/>
    </row>
  </sheetData>
  <mergeCells count="2">
    <mergeCell ref="A1:F1"/>
    <mergeCell ref="A2:F2"/>
  </mergeCells>
  <pageMargins left="0.31496062992125984" right="0.11811023622047245" top="0.15748031496062992" bottom="0.15748031496062992" header="0.31496062992125984" footer="0.31496062992125984"/>
  <pageSetup paperSize="9" scale="55" orientation="portrait" horizontalDpi="203" verticalDpi="20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9"/>
  <sheetViews>
    <sheetView showGridLines="0" topLeftCell="A17" zoomScale="55" zoomScaleNormal="55" workbookViewId="0">
      <selection activeCell="H23" sqref="H23"/>
    </sheetView>
  </sheetViews>
  <sheetFormatPr defaultColWidth="8.81640625" defaultRowHeight="14.5" x14ac:dyDescent="0.35"/>
  <cols>
    <col min="1" max="1" width="16.81640625" style="7" customWidth="1"/>
    <col min="2" max="2" width="100.1796875" style="1" customWidth="1"/>
    <col min="3" max="3" width="22.54296875" style="24" customWidth="1"/>
    <col min="4" max="4" width="19.08984375" style="20" bestFit="1" customWidth="1"/>
    <col min="5" max="5" width="15.90625" style="20" customWidth="1"/>
    <col min="6" max="6" width="20.08984375" style="20" customWidth="1"/>
    <col min="7" max="7" width="23.36328125" style="1" customWidth="1"/>
    <col min="8" max="8" width="9.1796875" style="1" bestFit="1" customWidth="1"/>
    <col min="9" max="16384" width="8.81640625" style="1"/>
  </cols>
  <sheetData>
    <row r="1" spans="1:8" ht="25.5" customHeight="1" x14ac:dyDescent="0.4">
      <c r="A1" s="57" t="s">
        <v>31</v>
      </c>
      <c r="B1" s="57"/>
      <c r="C1" s="57"/>
      <c r="D1" s="57"/>
      <c r="E1" s="57"/>
      <c r="F1" s="57"/>
    </row>
    <row r="2" spans="1:8" x14ac:dyDescent="0.35">
      <c r="A2" s="58"/>
      <c r="B2" s="58"/>
      <c r="C2" s="58"/>
      <c r="D2" s="58"/>
      <c r="E2" s="58"/>
      <c r="F2" s="58"/>
    </row>
    <row r="3" spans="1:8" s="7" customFormat="1" ht="27" customHeight="1" x14ac:dyDescent="0.35">
      <c r="A3" s="6" t="s">
        <v>0</v>
      </c>
      <c r="B3" s="6" t="s">
        <v>297</v>
      </c>
      <c r="C3" s="21" t="s">
        <v>296</v>
      </c>
      <c r="D3" s="17" t="s">
        <v>310</v>
      </c>
      <c r="E3" s="17">
        <v>1000</v>
      </c>
      <c r="F3" s="17">
        <v>1000</v>
      </c>
      <c r="G3" s="28">
        <f>E3*15+100+30</f>
        <v>15130</v>
      </c>
      <c r="H3" s="28"/>
    </row>
    <row r="4" spans="1:8" s="7" customFormat="1" ht="53" customHeight="1" x14ac:dyDescent="0.35">
      <c r="A4" s="8" t="s">
        <v>2</v>
      </c>
      <c r="B4" s="8" t="s">
        <v>6</v>
      </c>
      <c r="C4" s="25" t="s">
        <v>128</v>
      </c>
      <c r="D4" s="27" t="s">
        <v>309</v>
      </c>
      <c r="E4" s="27" t="s">
        <v>308</v>
      </c>
      <c r="F4" s="27" t="s">
        <v>232</v>
      </c>
      <c r="G4" s="26" t="s">
        <v>4</v>
      </c>
    </row>
    <row r="5" spans="1:8" x14ac:dyDescent="0.35">
      <c r="A5" s="9">
        <v>1</v>
      </c>
      <c r="B5" s="2" t="s">
        <v>276</v>
      </c>
      <c r="C5" s="22">
        <v>0.3</v>
      </c>
      <c r="D5" s="47">
        <f t="shared" ref="D5:D25" si="0">C5*$E$3</f>
        <v>300</v>
      </c>
      <c r="E5" s="22">
        <v>0.3</v>
      </c>
      <c r="F5" s="22">
        <f>E5*$F$3</f>
        <v>300</v>
      </c>
      <c r="G5" s="2"/>
    </row>
    <row r="6" spans="1:8" x14ac:dyDescent="0.35">
      <c r="A6" s="9">
        <v>2</v>
      </c>
      <c r="B6" s="2" t="s">
        <v>92</v>
      </c>
      <c r="C6" s="22">
        <v>3</v>
      </c>
      <c r="D6" s="47">
        <f t="shared" si="0"/>
        <v>3000</v>
      </c>
      <c r="E6" s="22">
        <v>3</v>
      </c>
      <c r="F6" s="22">
        <f t="shared" ref="F6:F24" si="1">E6*$F$3</f>
        <v>3000</v>
      </c>
      <c r="G6" s="2"/>
    </row>
    <row r="7" spans="1:8" x14ac:dyDescent="0.35">
      <c r="A7" s="9">
        <v>3</v>
      </c>
      <c r="B7" s="2" t="s">
        <v>274</v>
      </c>
      <c r="C7" s="22">
        <v>0.44999999999999996</v>
      </c>
      <c r="D7" s="47">
        <f t="shared" si="0"/>
        <v>449.99999999999994</v>
      </c>
      <c r="E7" s="22">
        <v>0.44999999999999996</v>
      </c>
      <c r="F7" s="22">
        <f t="shared" si="1"/>
        <v>449.99999999999994</v>
      </c>
      <c r="G7" s="2"/>
    </row>
    <row r="8" spans="1:8" x14ac:dyDescent="0.35">
      <c r="A8" s="9">
        <v>4</v>
      </c>
      <c r="B8" s="2" t="s">
        <v>5</v>
      </c>
      <c r="C8" s="22">
        <v>1.5</v>
      </c>
      <c r="D8" s="47">
        <f t="shared" si="0"/>
        <v>1500</v>
      </c>
      <c r="E8" s="22">
        <v>1.5</v>
      </c>
      <c r="F8" s="22">
        <f t="shared" si="1"/>
        <v>1500</v>
      </c>
      <c r="G8" s="2"/>
    </row>
    <row r="9" spans="1:8" x14ac:dyDescent="0.35">
      <c r="A9" s="9">
        <v>5</v>
      </c>
      <c r="B9" s="2" t="s">
        <v>298</v>
      </c>
      <c r="C9" s="22">
        <v>2.25</v>
      </c>
      <c r="D9" s="47">
        <f t="shared" si="0"/>
        <v>2250</v>
      </c>
      <c r="E9" s="22">
        <v>2.25</v>
      </c>
      <c r="F9" s="22">
        <f t="shared" si="1"/>
        <v>2250</v>
      </c>
      <c r="G9" s="2"/>
    </row>
    <row r="10" spans="1:8" x14ac:dyDescent="0.35">
      <c r="A10" s="9">
        <v>6</v>
      </c>
      <c r="B10" s="2" t="s">
        <v>299</v>
      </c>
      <c r="C10" s="22">
        <v>0.44999999999999996</v>
      </c>
      <c r="D10" s="47">
        <f t="shared" si="0"/>
        <v>449.99999999999994</v>
      </c>
      <c r="E10" s="22">
        <v>0.44999999999999996</v>
      </c>
      <c r="F10" s="22">
        <f t="shared" si="1"/>
        <v>449.99999999999994</v>
      </c>
      <c r="G10" s="2"/>
    </row>
    <row r="11" spans="1:8" x14ac:dyDescent="0.35">
      <c r="A11" s="9">
        <v>7</v>
      </c>
      <c r="B11" s="2" t="s">
        <v>250</v>
      </c>
      <c r="C11" s="22">
        <v>3</v>
      </c>
      <c r="D11" s="47">
        <f t="shared" si="0"/>
        <v>3000</v>
      </c>
      <c r="E11" s="22">
        <v>3</v>
      </c>
      <c r="F11" s="22">
        <f t="shared" si="1"/>
        <v>3000</v>
      </c>
      <c r="G11" s="2"/>
    </row>
    <row r="12" spans="1:8" x14ac:dyDescent="0.35">
      <c r="A12" s="9">
        <v>8</v>
      </c>
      <c r="B12" s="2" t="s">
        <v>134</v>
      </c>
      <c r="C12" s="22">
        <v>7.4999999999999997E-2</v>
      </c>
      <c r="D12" s="47">
        <f t="shared" si="0"/>
        <v>75</v>
      </c>
      <c r="E12" s="22">
        <v>7.4999999999999997E-2</v>
      </c>
      <c r="F12" s="22">
        <f t="shared" si="1"/>
        <v>75</v>
      </c>
      <c r="G12" s="2"/>
    </row>
    <row r="13" spans="1:8" x14ac:dyDescent="0.35">
      <c r="A13" s="9">
        <v>9</v>
      </c>
      <c r="B13" s="2" t="s">
        <v>300</v>
      </c>
      <c r="C13" s="22">
        <v>0.75</v>
      </c>
      <c r="D13" s="47">
        <f t="shared" si="0"/>
        <v>750</v>
      </c>
      <c r="E13" s="22">
        <v>0.75</v>
      </c>
      <c r="F13" s="22">
        <f t="shared" si="1"/>
        <v>750</v>
      </c>
      <c r="G13" s="2"/>
    </row>
    <row r="14" spans="1:8" ht="56.5" x14ac:dyDescent="0.35">
      <c r="A14" s="9">
        <v>10</v>
      </c>
      <c r="B14" s="13" t="s">
        <v>301</v>
      </c>
      <c r="C14" s="22">
        <v>1.4999999999999999E-2</v>
      </c>
      <c r="D14" s="47">
        <f t="shared" si="0"/>
        <v>15</v>
      </c>
      <c r="E14" s="22">
        <v>1.4999999999999999E-2</v>
      </c>
      <c r="F14" s="22">
        <f t="shared" si="1"/>
        <v>15</v>
      </c>
      <c r="G14" s="2"/>
    </row>
    <row r="15" spans="1:8" x14ac:dyDescent="0.35">
      <c r="A15" s="9">
        <v>11</v>
      </c>
      <c r="B15" s="2" t="s">
        <v>302</v>
      </c>
      <c r="C15" s="22">
        <v>0.10499999999999998</v>
      </c>
      <c r="D15" s="47">
        <f t="shared" si="0"/>
        <v>104.99999999999999</v>
      </c>
      <c r="E15" s="22">
        <v>0.10499999999999998</v>
      </c>
      <c r="F15" s="22">
        <f t="shared" si="1"/>
        <v>104.99999999999999</v>
      </c>
      <c r="G15" s="2"/>
    </row>
    <row r="16" spans="1:8" x14ac:dyDescent="0.35">
      <c r="A16" s="9">
        <v>12</v>
      </c>
      <c r="B16" s="2" t="s">
        <v>303</v>
      </c>
      <c r="C16" s="22">
        <v>7.4999999999999997E-2</v>
      </c>
      <c r="D16" s="47">
        <f t="shared" si="0"/>
        <v>75</v>
      </c>
      <c r="E16" s="22">
        <v>7.4999999999999997E-2</v>
      </c>
      <c r="F16" s="22">
        <f t="shared" si="1"/>
        <v>75</v>
      </c>
      <c r="G16" s="2"/>
    </row>
    <row r="17" spans="1:8" x14ac:dyDescent="0.35">
      <c r="A17" s="9">
        <v>13</v>
      </c>
      <c r="B17" s="2" t="s">
        <v>254</v>
      </c>
      <c r="C17" s="22">
        <v>7.4999999999999997E-2</v>
      </c>
      <c r="D17" s="47">
        <f t="shared" si="0"/>
        <v>75</v>
      </c>
      <c r="E17" s="22">
        <v>7.4999999999999997E-2</v>
      </c>
      <c r="F17" s="22">
        <f t="shared" si="1"/>
        <v>75</v>
      </c>
      <c r="G17" s="2"/>
    </row>
    <row r="18" spans="1:8" x14ac:dyDescent="0.35">
      <c r="A18" s="9">
        <v>14</v>
      </c>
      <c r="B18" s="2" t="s">
        <v>304</v>
      </c>
      <c r="C18" s="22">
        <v>7.4999999999999997E-2</v>
      </c>
      <c r="D18" s="47">
        <f t="shared" si="0"/>
        <v>75</v>
      </c>
      <c r="E18" s="22">
        <v>7.4999999999999997E-2</v>
      </c>
      <c r="F18" s="22">
        <f t="shared" si="1"/>
        <v>75</v>
      </c>
      <c r="G18" s="2"/>
    </row>
    <row r="19" spans="1:8" x14ac:dyDescent="0.35">
      <c r="A19" s="9">
        <v>15</v>
      </c>
      <c r="B19" s="2" t="s">
        <v>305</v>
      </c>
      <c r="C19" s="22">
        <v>0.44999999999999996</v>
      </c>
      <c r="D19" s="47">
        <f t="shared" si="0"/>
        <v>449.99999999999994</v>
      </c>
      <c r="E19" s="22">
        <v>0.44999999999999996</v>
      </c>
      <c r="F19" s="22">
        <f t="shared" si="1"/>
        <v>449.99999999999994</v>
      </c>
      <c r="G19" s="2"/>
    </row>
    <row r="20" spans="1:8" x14ac:dyDescent="0.35">
      <c r="A20" s="9">
        <v>16</v>
      </c>
      <c r="B20" s="2" t="s">
        <v>262</v>
      </c>
      <c r="C20" s="22">
        <v>7.4999999999999997E-2</v>
      </c>
      <c r="D20" s="47">
        <f t="shared" si="0"/>
        <v>75</v>
      </c>
      <c r="E20" s="22">
        <v>7.4999999999999997E-2</v>
      </c>
      <c r="F20" s="22">
        <f t="shared" si="1"/>
        <v>75</v>
      </c>
      <c r="G20" s="2"/>
    </row>
    <row r="21" spans="1:8" x14ac:dyDescent="0.35">
      <c r="A21" s="9">
        <v>17</v>
      </c>
      <c r="B21" s="2" t="s">
        <v>306</v>
      </c>
      <c r="C21" s="22">
        <v>0.03</v>
      </c>
      <c r="D21" s="47">
        <f t="shared" si="0"/>
        <v>30</v>
      </c>
      <c r="E21" s="22">
        <v>0.03</v>
      </c>
      <c r="F21" s="22">
        <f t="shared" si="1"/>
        <v>30</v>
      </c>
      <c r="G21" s="2"/>
    </row>
    <row r="22" spans="1:8" x14ac:dyDescent="0.35">
      <c r="A22" s="9">
        <v>18</v>
      </c>
      <c r="B22" s="2" t="s">
        <v>307</v>
      </c>
      <c r="C22" s="22">
        <v>4.4999999999999998E-2</v>
      </c>
      <c r="D22" s="47">
        <f>C22*$E$3</f>
        <v>45</v>
      </c>
      <c r="E22" s="22">
        <v>4.4999999999999998E-2</v>
      </c>
      <c r="F22" s="22">
        <f>E22*$F$3</f>
        <v>45</v>
      </c>
      <c r="G22" s="2"/>
    </row>
    <row r="23" spans="1:8" x14ac:dyDescent="0.35">
      <c r="A23" s="9">
        <v>19</v>
      </c>
      <c r="B23" s="2" t="s">
        <v>154</v>
      </c>
      <c r="C23" s="22">
        <v>2.2799999999999998</v>
      </c>
      <c r="D23" s="47">
        <f t="shared" si="0"/>
        <v>2280</v>
      </c>
      <c r="E23" s="22">
        <v>2.6</v>
      </c>
      <c r="F23" s="22">
        <f>E23*$F$3</f>
        <v>2600</v>
      </c>
      <c r="G23" s="2" t="s">
        <v>399</v>
      </c>
    </row>
    <row r="24" spans="1:8" x14ac:dyDescent="0.35">
      <c r="A24" s="9">
        <v>20</v>
      </c>
      <c r="B24" s="2"/>
      <c r="C24" s="22"/>
      <c r="D24" s="47">
        <f t="shared" si="0"/>
        <v>0</v>
      </c>
      <c r="E24" s="18"/>
      <c r="F24" s="18">
        <f t="shared" si="1"/>
        <v>0</v>
      </c>
      <c r="G24" s="2"/>
    </row>
    <row r="25" spans="1:8" x14ac:dyDescent="0.35">
      <c r="A25" s="9"/>
      <c r="B25" s="5" t="s">
        <v>30</v>
      </c>
      <c r="C25" s="23">
        <f>SUM(C5:C24)</f>
        <v>14.999999999999995</v>
      </c>
      <c r="D25" s="23">
        <f t="shared" si="0"/>
        <v>14999.999999999995</v>
      </c>
      <c r="E25" s="23">
        <f>SUM(E5:E24)</f>
        <v>15.319999999999995</v>
      </c>
      <c r="F25" s="23">
        <f>SUM(F5:F24)</f>
        <v>15320</v>
      </c>
      <c r="G25" s="12">
        <v>100</v>
      </c>
      <c r="H25" s="1" t="s">
        <v>221</v>
      </c>
    </row>
    <row r="26" spans="1:8" x14ac:dyDescent="0.35">
      <c r="A26" s="9"/>
      <c r="B26" s="2" t="s">
        <v>263</v>
      </c>
      <c r="C26" s="22">
        <v>1</v>
      </c>
      <c r="D26" s="18"/>
      <c r="E26" s="18"/>
      <c r="F26" s="18"/>
      <c r="G26" s="12">
        <v>30</v>
      </c>
      <c r="H26" s="1" t="s">
        <v>222</v>
      </c>
    </row>
    <row r="27" spans="1:8" x14ac:dyDescent="0.35">
      <c r="A27" s="9"/>
      <c r="B27" s="2" t="s">
        <v>294</v>
      </c>
      <c r="C27" s="22">
        <v>1</v>
      </c>
      <c r="D27" s="18"/>
      <c r="E27" s="18"/>
      <c r="F27" s="18"/>
      <c r="G27" s="12">
        <f>F25-D25-G25-G26</f>
        <v>190.00000000000546</v>
      </c>
      <c r="H27" s="1" t="s">
        <v>223</v>
      </c>
    </row>
    <row r="28" spans="1:8" x14ac:dyDescent="0.35">
      <c r="A28" s="9"/>
      <c r="B28" s="2" t="s">
        <v>155</v>
      </c>
      <c r="C28" s="22">
        <v>1</v>
      </c>
      <c r="D28" s="18"/>
      <c r="E28" s="18"/>
      <c r="F28" s="18">
        <f>F25-100</f>
        <v>15220</v>
      </c>
      <c r="G28" s="12"/>
    </row>
    <row r="29" spans="1:8" x14ac:dyDescent="0.35">
      <c r="A29" s="9"/>
      <c r="B29" s="2" t="s">
        <v>24</v>
      </c>
      <c r="C29" s="22">
        <v>5</v>
      </c>
      <c r="D29" s="18"/>
      <c r="E29" s="18"/>
      <c r="F29" s="18"/>
      <c r="G29" s="12"/>
    </row>
  </sheetData>
  <mergeCells count="2">
    <mergeCell ref="A1:F1"/>
    <mergeCell ref="A2:F2"/>
  </mergeCells>
  <pageMargins left="0.31496062992125984" right="0.11811023622047245" top="0.15748031496062992" bottom="0.15748031496062992" header="0.31496062992125984" footer="0.31496062992125984"/>
  <pageSetup paperSize="9" scale="55" orientation="portrait" horizontalDpi="203" verticalDpi="20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9"/>
  <sheetViews>
    <sheetView showGridLines="0" zoomScale="55" zoomScaleNormal="55" workbookViewId="0">
      <selection activeCell="G22" sqref="G22"/>
    </sheetView>
  </sheetViews>
  <sheetFormatPr defaultColWidth="8.81640625" defaultRowHeight="14.5" x14ac:dyDescent="0.35"/>
  <cols>
    <col min="1" max="1" width="16.81640625" style="7" customWidth="1"/>
    <col min="2" max="2" width="100.1796875" style="1" customWidth="1"/>
    <col min="3" max="3" width="22.54296875" style="24" customWidth="1"/>
    <col min="4" max="4" width="19.08984375" style="20" bestFit="1" customWidth="1"/>
    <col min="5" max="5" width="15.90625" style="20" customWidth="1"/>
    <col min="6" max="6" width="17.90625" style="20" customWidth="1"/>
    <col min="7" max="7" width="23.36328125" style="1" customWidth="1"/>
    <col min="8" max="8" width="9.1796875" style="1" bestFit="1" customWidth="1"/>
    <col min="9" max="16384" width="8.81640625" style="1"/>
  </cols>
  <sheetData>
    <row r="1" spans="1:8" ht="25.5" customHeight="1" x14ac:dyDescent="0.4">
      <c r="A1" s="57" t="s">
        <v>31</v>
      </c>
      <c r="B1" s="57"/>
      <c r="C1" s="57"/>
      <c r="D1" s="57"/>
      <c r="E1" s="57"/>
      <c r="F1" s="57"/>
    </row>
    <row r="2" spans="1:8" x14ac:dyDescent="0.35">
      <c r="A2" s="58"/>
      <c r="B2" s="58"/>
      <c r="C2" s="58"/>
      <c r="D2" s="58"/>
      <c r="E2" s="58"/>
      <c r="F2" s="58"/>
    </row>
    <row r="3" spans="1:8" s="7" customFormat="1" ht="27" customHeight="1" x14ac:dyDescent="0.35">
      <c r="A3" s="6" t="s">
        <v>0</v>
      </c>
      <c r="B3" s="6" t="s">
        <v>311</v>
      </c>
      <c r="C3" s="21" t="s">
        <v>336</v>
      </c>
      <c r="D3" s="17"/>
      <c r="E3" s="17">
        <v>2800</v>
      </c>
      <c r="F3" s="17">
        <v>2800</v>
      </c>
      <c r="G3" s="28">
        <f>F3*20</f>
        <v>56000</v>
      </c>
      <c r="H3" s="28"/>
    </row>
    <row r="4" spans="1:8" s="7" customFormat="1" ht="53" customHeight="1" x14ac:dyDescent="0.35">
      <c r="A4" s="8" t="s">
        <v>2</v>
      </c>
      <c r="B4" s="8" t="s">
        <v>6</v>
      </c>
      <c r="C4" s="25" t="s">
        <v>323</v>
      </c>
      <c r="D4" s="27" t="s">
        <v>325</v>
      </c>
      <c r="E4" s="27" t="s">
        <v>324</v>
      </c>
      <c r="F4" s="27" t="s">
        <v>232</v>
      </c>
      <c r="G4" s="26" t="s">
        <v>4</v>
      </c>
    </row>
    <row r="5" spans="1:8" x14ac:dyDescent="0.35">
      <c r="A5" s="9">
        <v>1</v>
      </c>
      <c r="B5" s="2" t="s">
        <v>312</v>
      </c>
      <c r="C5" s="22">
        <v>1</v>
      </c>
      <c r="D5" s="47">
        <f>C5*$E$3</f>
        <v>2800</v>
      </c>
      <c r="E5" s="22">
        <v>1</v>
      </c>
      <c r="F5" s="22">
        <f>E5*$F$3</f>
        <v>2800</v>
      </c>
      <c r="G5" s="2"/>
    </row>
    <row r="6" spans="1:8" x14ac:dyDescent="0.35">
      <c r="A6" s="9">
        <v>2</v>
      </c>
      <c r="B6" s="2" t="s">
        <v>313</v>
      </c>
      <c r="C6" s="22">
        <v>1</v>
      </c>
      <c r="D6" s="47">
        <f t="shared" ref="D6:D25" si="0">C6*$E$3</f>
        <v>2800</v>
      </c>
      <c r="E6" s="22">
        <v>1</v>
      </c>
      <c r="F6" s="22">
        <f t="shared" ref="F6:F24" si="1">E6*$F$3</f>
        <v>2800</v>
      </c>
      <c r="G6" s="2"/>
    </row>
    <row r="7" spans="1:8" x14ac:dyDescent="0.35">
      <c r="A7" s="9">
        <v>3</v>
      </c>
      <c r="B7" s="2" t="s">
        <v>314</v>
      </c>
      <c r="C7" s="22">
        <v>1</v>
      </c>
      <c r="D7" s="47">
        <f t="shared" si="0"/>
        <v>2800</v>
      </c>
      <c r="E7" s="22">
        <v>1</v>
      </c>
      <c r="F7" s="22">
        <f t="shared" si="1"/>
        <v>2800</v>
      </c>
      <c r="G7" s="2"/>
    </row>
    <row r="8" spans="1:8" x14ac:dyDescent="0.35">
      <c r="A8" s="9">
        <v>4</v>
      </c>
      <c r="B8" s="2" t="s">
        <v>299</v>
      </c>
      <c r="C8" s="22">
        <v>1</v>
      </c>
      <c r="D8" s="47">
        <f t="shared" si="0"/>
        <v>2800</v>
      </c>
      <c r="E8" s="22">
        <v>1</v>
      </c>
      <c r="F8" s="22">
        <f t="shared" si="1"/>
        <v>2800</v>
      </c>
      <c r="G8" s="2"/>
    </row>
    <row r="9" spans="1:8" x14ac:dyDescent="0.35">
      <c r="A9" s="9">
        <v>5</v>
      </c>
      <c r="B9" s="2" t="s">
        <v>315</v>
      </c>
      <c r="C9" s="22">
        <v>0.6</v>
      </c>
      <c r="D9" s="47">
        <f t="shared" si="0"/>
        <v>1680</v>
      </c>
      <c r="E9" s="22">
        <v>0.6</v>
      </c>
      <c r="F9" s="22">
        <f t="shared" si="1"/>
        <v>1680</v>
      </c>
      <c r="G9" s="2"/>
    </row>
    <row r="10" spans="1:8" x14ac:dyDescent="0.35">
      <c r="A10" s="9">
        <v>6</v>
      </c>
      <c r="B10" s="2" t="s">
        <v>316</v>
      </c>
      <c r="C10" s="22">
        <v>0.6</v>
      </c>
      <c r="D10" s="47">
        <f t="shared" si="0"/>
        <v>1680</v>
      </c>
      <c r="E10" s="22">
        <v>0.6</v>
      </c>
      <c r="F10" s="22">
        <f t="shared" si="1"/>
        <v>1680</v>
      </c>
      <c r="G10" s="2"/>
    </row>
    <row r="11" spans="1:8" x14ac:dyDescent="0.35">
      <c r="A11" s="9">
        <v>7</v>
      </c>
      <c r="B11" s="2" t="s">
        <v>317</v>
      </c>
      <c r="C11" s="22">
        <v>0.2</v>
      </c>
      <c r="D11" s="47">
        <f t="shared" si="0"/>
        <v>560</v>
      </c>
      <c r="E11" s="22">
        <v>0.2</v>
      </c>
      <c r="F11" s="22">
        <f t="shared" si="1"/>
        <v>560</v>
      </c>
      <c r="G11" s="2"/>
    </row>
    <row r="12" spans="1:8" x14ac:dyDescent="0.35">
      <c r="A12" s="9">
        <v>8</v>
      </c>
      <c r="B12" s="2" t="s">
        <v>250</v>
      </c>
      <c r="C12" s="22">
        <v>1</v>
      </c>
      <c r="D12" s="47">
        <f t="shared" si="0"/>
        <v>2800</v>
      </c>
      <c r="E12" s="22">
        <v>1</v>
      </c>
      <c r="F12" s="22">
        <f t="shared" si="1"/>
        <v>2800</v>
      </c>
      <c r="G12" s="2"/>
    </row>
    <row r="13" spans="1:8" x14ac:dyDescent="0.35">
      <c r="A13" s="9">
        <v>9</v>
      </c>
      <c r="B13" s="2" t="s">
        <v>318</v>
      </c>
      <c r="C13" s="22">
        <v>0.2</v>
      </c>
      <c r="D13" s="47">
        <f t="shared" si="0"/>
        <v>560</v>
      </c>
      <c r="E13" s="22">
        <v>0.2</v>
      </c>
      <c r="F13" s="22">
        <f t="shared" si="1"/>
        <v>560</v>
      </c>
      <c r="G13" s="2"/>
    </row>
    <row r="14" spans="1:8" x14ac:dyDescent="0.35">
      <c r="A14" s="9">
        <v>10</v>
      </c>
      <c r="B14" s="13" t="s">
        <v>319</v>
      </c>
      <c r="C14" s="22">
        <v>0.2</v>
      </c>
      <c r="D14" s="47">
        <f t="shared" si="0"/>
        <v>560</v>
      </c>
      <c r="E14" s="22">
        <v>0.2</v>
      </c>
      <c r="F14" s="22">
        <f t="shared" si="1"/>
        <v>560</v>
      </c>
      <c r="G14" s="2"/>
    </row>
    <row r="15" spans="1:8" x14ac:dyDescent="0.35">
      <c r="A15" s="9">
        <v>11</v>
      </c>
      <c r="B15" s="2" t="s">
        <v>320</v>
      </c>
      <c r="C15" s="22">
        <v>0.4</v>
      </c>
      <c r="D15" s="47">
        <f t="shared" si="0"/>
        <v>1120</v>
      </c>
      <c r="E15" s="22">
        <v>0.4</v>
      </c>
      <c r="F15" s="22">
        <f t="shared" si="1"/>
        <v>1120</v>
      </c>
      <c r="G15" s="2"/>
    </row>
    <row r="16" spans="1:8" x14ac:dyDescent="0.35">
      <c r="A16" s="9">
        <v>12</v>
      </c>
      <c r="B16" s="2" t="s">
        <v>321</v>
      </c>
      <c r="C16" s="22">
        <v>0.02</v>
      </c>
      <c r="D16" s="47">
        <f t="shared" si="0"/>
        <v>56</v>
      </c>
      <c r="E16" s="22">
        <v>0.02</v>
      </c>
      <c r="F16" s="22">
        <f t="shared" si="1"/>
        <v>56</v>
      </c>
      <c r="G16" s="2"/>
    </row>
    <row r="17" spans="1:8" x14ac:dyDescent="0.35">
      <c r="A17" s="9">
        <v>13</v>
      </c>
      <c r="B17" s="2" t="s">
        <v>259</v>
      </c>
      <c r="C17" s="22">
        <v>0.1</v>
      </c>
      <c r="D17" s="47">
        <f t="shared" si="0"/>
        <v>280</v>
      </c>
      <c r="E17" s="22">
        <v>0.1</v>
      </c>
      <c r="F17" s="22">
        <f t="shared" si="1"/>
        <v>280</v>
      </c>
      <c r="G17" s="2"/>
    </row>
    <row r="18" spans="1:8" x14ac:dyDescent="0.35">
      <c r="A18" s="9">
        <v>14</v>
      </c>
      <c r="B18" s="2" t="s">
        <v>262</v>
      </c>
      <c r="C18" s="22">
        <v>0.2</v>
      </c>
      <c r="D18" s="47">
        <f t="shared" si="0"/>
        <v>560</v>
      </c>
      <c r="E18" s="22">
        <v>0.2</v>
      </c>
      <c r="F18" s="22">
        <f t="shared" si="1"/>
        <v>560</v>
      </c>
      <c r="G18" s="2" t="s">
        <v>338</v>
      </c>
    </row>
    <row r="19" spans="1:8" x14ac:dyDescent="0.35">
      <c r="A19" s="9">
        <v>15</v>
      </c>
      <c r="B19" s="2" t="s">
        <v>260</v>
      </c>
      <c r="C19" s="22">
        <v>0.2</v>
      </c>
      <c r="D19" s="47">
        <f t="shared" si="0"/>
        <v>560</v>
      </c>
      <c r="E19" s="22">
        <v>0.2</v>
      </c>
      <c r="F19" s="22">
        <f t="shared" si="1"/>
        <v>560</v>
      </c>
      <c r="G19" s="2"/>
    </row>
    <row r="20" spans="1:8" x14ac:dyDescent="0.35">
      <c r="A20" s="9">
        <v>16</v>
      </c>
      <c r="B20" s="2" t="s">
        <v>126</v>
      </c>
      <c r="C20" s="22">
        <v>0.1</v>
      </c>
      <c r="D20" s="47">
        <f t="shared" si="0"/>
        <v>280</v>
      </c>
      <c r="E20" s="22">
        <v>0.1</v>
      </c>
      <c r="F20" s="22">
        <f t="shared" si="1"/>
        <v>280</v>
      </c>
      <c r="G20" s="2"/>
    </row>
    <row r="21" spans="1:8" x14ac:dyDescent="0.35">
      <c r="A21" s="9">
        <v>17</v>
      </c>
      <c r="B21" s="2" t="s">
        <v>322</v>
      </c>
      <c r="C21" s="22">
        <v>0.16</v>
      </c>
      <c r="D21" s="47">
        <f t="shared" si="0"/>
        <v>448</v>
      </c>
      <c r="E21" s="22">
        <v>0.16</v>
      </c>
      <c r="F21" s="22">
        <f t="shared" si="1"/>
        <v>448</v>
      </c>
      <c r="G21" s="2"/>
    </row>
    <row r="22" spans="1:8" x14ac:dyDescent="0.35">
      <c r="A22" s="9">
        <v>18</v>
      </c>
      <c r="B22" s="2" t="s">
        <v>154</v>
      </c>
      <c r="C22" s="22">
        <v>12.02</v>
      </c>
      <c r="D22" s="47">
        <f>C22*$E$3</f>
        <v>33656</v>
      </c>
      <c r="E22" s="22">
        <v>12.2</v>
      </c>
      <c r="F22" s="22">
        <f>E22*$F$3</f>
        <v>34160</v>
      </c>
      <c r="G22" s="2" t="s">
        <v>401</v>
      </c>
    </row>
    <row r="23" spans="1:8" x14ac:dyDescent="0.35">
      <c r="A23" s="9">
        <v>19</v>
      </c>
      <c r="B23" s="2"/>
      <c r="C23" s="22"/>
      <c r="D23" s="47">
        <f t="shared" si="0"/>
        <v>0</v>
      </c>
      <c r="E23" s="22"/>
      <c r="F23" s="22">
        <f>E23*$F$3</f>
        <v>0</v>
      </c>
      <c r="G23" s="2"/>
    </row>
    <row r="24" spans="1:8" x14ac:dyDescent="0.35">
      <c r="A24" s="9">
        <v>20</v>
      </c>
      <c r="B24" s="2"/>
      <c r="C24" s="22"/>
      <c r="D24" s="47">
        <f t="shared" si="0"/>
        <v>0</v>
      </c>
      <c r="E24" s="18"/>
      <c r="F24" s="18">
        <f t="shared" si="1"/>
        <v>0</v>
      </c>
      <c r="G24" s="2"/>
    </row>
    <row r="25" spans="1:8" x14ac:dyDescent="0.35">
      <c r="A25" s="9"/>
      <c r="B25" s="5" t="s">
        <v>30</v>
      </c>
      <c r="C25" s="23">
        <f>SUM(C5:C24)</f>
        <v>20</v>
      </c>
      <c r="D25" s="23">
        <f t="shared" si="0"/>
        <v>56000</v>
      </c>
      <c r="E25" s="23">
        <f>SUM(E5:E24)</f>
        <v>20.18</v>
      </c>
      <c r="F25" s="23">
        <f>SUM(F5:F24)</f>
        <v>56504</v>
      </c>
      <c r="G25" s="12">
        <v>100</v>
      </c>
      <c r="H25" s="1" t="s">
        <v>221</v>
      </c>
    </row>
    <row r="26" spans="1:8" x14ac:dyDescent="0.35">
      <c r="A26" s="9"/>
      <c r="B26" s="2" t="s">
        <v>326</v>
      </c>
      <c r="C26" s="22">
        <v>1</v>
      </c>
      <c r="D26" s="18"/>
      <c r="E26" s="18"/>
      <c r="F26" s="18"/>
      <c r="G26" s="12">
        <v>40</v>
      </c>
      <c r="H26" s="1" t="s">
        <v>222</v>
      </c>
    </row>
    <row r="27" spans="1:8" x14ac:dyDescent="0.35">
      <c r="A27" s="9"/>
      <c r="B27" s="2" t="s">
        <v>293</v>
      </c>
      <c r="C27" s="22">
        <v>1</v>
      </c>
      <c r="D27" s="18"/>
      <c r="E27" s="18"/>
      <c r="F27" s="18"/>
      <c r="G27" s="12">
        <f>F25-G3-G25-G26</f>
        <v>364</v>
      </c>
      <c r="H27" s="1" t="s">
        <v>223</v>
      </c>
    </row>
    <row r="28" spans="1:8" x14ac:dyDescent="0.35">
      <c r="A28" s="9"/>
      <c r="B28" s="2"/>
      <c r="C28" s="22"/>
      <c r="D28" s="18"/>
      <c r="E28" s="18"/>
      <c r="F28" s="18">
        <f>F25-100</f>
        <v>56404</v>
      </c>
      <c r="G28" s="12"/>
    </row>
    <row r="29" spans="1:8" x14ac:dyDescent="0.35">
      <c r="A29" s="9"/>
      <c r="B29" s="2" t="s">
        <v>24</v>
      </c>
      <c r="C29" s="22">
        <v>47</v>
      </c>
      <c r="D29" s="18"/>
      <c r="E29" s="18"/>
      <c r="F29" s="18"/>
      <c r="G29" s="12"/>
    </row>
  </sheetData>
  <mergeCells count="2">
    <mergeCell ref="A1:F1"/>
    <mergeCell ref="A2:F2"/>
  </mergeCells>
  <pageMargins left="0.31496062992125984" right="0.11811023622047245" top="0.15748031496062992" bottom="0.15748031496062992" header="0.31496062992125984" footer="0.31496062992125984"/>
  <pageSetup paperSize="9" scale="55" orientation="portrait" horizontalDpi="203" verticalDpi="20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9"/>
  <sheetViews>
    <sheetView showGridLines="0" zoomScale="55" zoomScaleNormal="55" workbookViewId="0">
      <selection activeCell="G27" sqref="G27"/>
    </sheetView>
  </sheetViews>
  <sheetFormatPr defaultColWidth="8.81640625" defaultRowHeight="14.5" x14ac:dyDescent="0.35"/>
  <cols>
    <col min="1" max="1" width="16.81640625" style="7" customWidth="1"/>
    <col min="2" max="2" width="100.1796875" style="1" customWidth="1"/>
    <col min="3" max="3" width="22.54296875" style="24" customWidth="1"/>
    <col min="4" max="4" width="19.08984375" style="20" bestFit="1" customWidth="1"/>
    <col min="5" max="5" width="15.90625" style="20" customWidth="1"/>
    <col min="6" max="6" width="17.90625" style="20" customWidth="1"/>
    <col min="7" max="7" width="23.36328125" style="1" customWidth="1"/>
    <col min="8" max="8" width="9.1796875" style="1" bestFit="1" customWidth="1"/>
    <col min="9" max="16384" width="8.81640625" style="1"/>
  </cols>
  <sheetData>
    <row r="1" spans="1:8" ht="25.5" customHeight="1" x14ac:dyDescent="0.4">
      <c r="A1" s="57" t="s">
        <v>31</v>
      </c>
      <c r="B1" s="57"/>
      <c r="C1" s="57"/>
      <c r="D1" s="57"/>
      <c r="E1" s="57"/>
      <c r="F1" s="57"/>
    </row>
    <row r="2" spans="1:8" x14ac:dyDescent="0.35">
      <c r="A2" s="58"/>
      <c r="B2" s="58"/>
      <c r="C2" s="58"/>
      <c r="D2" s="58"/>
      <c r="E2" s="58"/>
      <c r="F2" s="58"/>
    </row>
    <row r="3" spans="1:8" s="7" customFormat="1" ht="27" customHeight="1" x14ac:dyDescent="0.35">
      <c r="A3" s="6" t="s">
        <v>0</v>
      </c>
      <c r="B3" s="6" t="s">
        <v>172</v>
      </c>
      <c r="C3" s="21" t="s">
        <v>334</v>
      </c>
      <c r="D3" s="17" t="s">
        <v>335</v>
      </c>
      <c r="E3" s="17">
        <v>1646</v>
      </c>
      <c r="F3" s="17">
        <v>1646</v>
      </c>
      <c r="G3" s="28">
        <f>F3*50</f>
        <v>82300</v>
      </c>
      <c r="H3" s="28"/>
    </row>
    <row r="4" spans="1:8" s="7" customFormat="1" ht="53" customHeight="1" x14ac:dyDescent="0.35">
      <c r="A4" s="8" t="s">
        <v>2</v>
      </c>
      <c r="B4" s="8" t="s">
        <v>6</v>
      </c>
      <c r="C4" s="25" t="s">
        <v>73</v>
      </c>
      <c r="D4" s="27" t="s">
        <v>337</v>
      </c>
      <c r="E4" s="27" t="s">
        <v>242</v>
      </c>
      <c r="F4" s="27" t="s">
        <v>232</v>
      </c>
      <c r="G4" s="26" t="s">
        <v>4</v>
      </c>
    </row>
    <row r="5" spans="1:8" x14ac:dyDescent="0.35">
      <c r="A5" s="9">
        <v>1</v>
      </c>
      <c r="B5" s="2" t="s">
        <v>327</v>
      </c>
      <c r="C5" s="22">
        <v>9.5</v>
      </c>
      <c r="D5" s="47">
        <f>C5*$E$3</f>
        <v>15637</v>
      </c>
      <c r="E5" s="22">
        <v>9.5</v>
      </c>
      <c r="F5" s="22">
        <f>E5*$F$3</f>
        <v>15637</v>
      </c>
      <c r="G5" s="2"/>
    </row>
    <row r="6" spans="1:8" x14ac:dyDescent="0.35">
      <c r="A6" s="9">
        <v>2</v>
      </c>
      <c r="B6" s="2" t="s">
        <v>328</v>
      </c>
      <c r="C6" s="22">
        <v>1.5</v>
      </c>
      <c r="D6" s="47">
        <f t="shared" ref="D6:D25" si="0">C6*$E$3</f>
        <v>2469</v>
      </c>
      <c r="E6" s="22">
        <v>1.5</v>
      </c>
      <c r="F6" s="22">
        <f t="shared" ref="F6:F24" si="1">E6*$F$3</f>
        <v>2469</v>
      </c>
      <c r="G6" s="2"/>
    </row>
    <row r="7" spans="1:8" x14ac:dyDescent="0.35">
      <c r="A7" s="9">
        <v>3</v>
      </c>
      <c r="B7" s="2" t="s">
        <v>312</v>
      </c>
      <c r="C7" s="22">
        <v>2.5</v>
      </c>
      <c r="D7" s="47">
        <f t="shared" si="0"/>
        <v>4115</v>
      </c>
      <c r="E7" s="22">
        <v>2.5</v>
      </c>
      <c r="F7" s="22">
        <f t="shared" si="1"/>
        <v>4115</v>
      </c>
      <c r="G7" s="2"/>
    </row>
    <row r="8" spans="1:8" x14ac:dyDescent="0.35">
      <c r="A8" s="9">
        <v>4</v>
      </c>
      <c r="B8" s="2" t="s">
        <v>80</v>
      </c>
      <c r="C8" s="22">
        <v>2.5</v>
      </c>
      <c r="D8" s="47">
        <f t="shared" si="0"/>
        <v>4115</v>
      </c>
      <c r="E8" s="22">
        <v>2.5</v>
      </c>
      <c r="F8" s="22">
        <f t="shared" si="1"/>
        <v>4115</v>
      </c>
      <c r="G8" s="2"/>
    </row>
    <row r="9" spans="1:8" x14ac:dyDescent="0.35">
      <c r="A9" s="9">
        <v>5</v>
      </c>
      <c r="B9" s="2" t="s">
        <v>76</v>
      </c>
      <c r="C9" s="22">
        <v>2.5</v>
      </c>
      <c r="D9" s="47">
        <f t="shared" si="0"/>
        <v>4115</v>
      </c>
      <c r="E9" s="22">
        <v>2.5</v>
      </c>
      <c r="F9" s="22">
        <f t="shared" si="1"/>
        <v>4115</v>
      </c>
      <c r="G9" s="2"/>
    </row>
    <row r="10" spans="1:8" x14ac:dyDescent="0.35">
      <c r="A10" s="9">
        <v>6</v>
      </c>
      <c r="B10" s="2" t="s">
        <v>329</v>
      </c>
      <c r="C10" s="22">
        <v>2.5</v>
      </c>
      <c r="D10" s="47">
        <f t="shared" si="0"/>
        <v>4115</v>
      </c>
      <c r="E10" s="22">
        <v>2.5</v>
      </c>
      <c r="F10" s="22">
        <f t="shared" si="1"/>
        <v>4115</v>
      </c>
      <c r="G10" s="2"/>
    </row>
    <row r="11" spans="1:8" x14ac:dyDescent="0.35">
      <c r="A11" s="9">
        <v>7</v>
      </c>
      <c r="B11" s="2" t="s">
        <v>330</v>
      </c>
      <c r="C11" s="22">
        <v>2.5</v>
      </c>
      <c r="D11" s="47">
        <f t="shared" si="0"/>
        <v>4115</v>
      </c>
      <c r="E11" s="22">
        <v>2.5</v>
      </c>
      <c r="F11" s="22">
        <f t="shared" si="1"/>
        <v>4115</v>
      </c>
      <c r="G11" s="2"/>
    </row>
    <row r="12" spans="1:8" x14ac:dyDescent="0.35">
      <c r="A12" s="9">
        <v>8</v>
      </c>
      <c r="B12" s="2" t="s">
        <v>331</v>
      </c>
      <c r="C12" s="22">
        <v>1.5</v>
      </c>
      <c r="D12" s="47">
        <f t="shared" si="0"/>
        <v>2469</v>
      </c>
      <c r="E12" s="22">
        <v>1.5</v>
      </c>
      <c r="F12" s="22">
        <f t="shared" si="1"/>
        <v>2469</v>
      </c>
      <c r="G12" s="2"/>
    </row>
    <row r="13" spans="1:8" x14ac:dyDescent="0.35">
      <c r="A13" s="9">
        <v>9</v>
      </c>
      <c r="B13" s="2" t="s">
        <v>254</v>
      </c>
      <c r="C13" s="22">
        <v>1.5</v>
      </c>
      <c r="D13" s="47">
        <f t="shared" si="0"/>
        <v>2469</v>
      </c>
      <c r="E13" s="22">
        <v>1.5</v>
      </c>
      <c r="F13" s="22">
        <f t="shared" si="1"/>
        <v>2469</v>
      </c>
      <c r="G13" s="2"/>
    </row>
    <row r="14" spans="1:8" x14ac:dyDescent="0.35">
      <c r="A14" s="9">
        <v>10</v>
      </c>
      <c r="B14" s="13" t="s">
        <v>332</v>
      </c>
      <c r="C14" s="22">
        <v>0.17499999999999999</v>
      </c>
      <c r="D14" s="47">
        <f t="shared" si="0"/>
        <v>288.04999999999995</v>
      </c>
      <c r="E14" s="22">
        <v>0.17499999999999999</v>
      </c>
      <c r="F14" s="22">
        <f t="shared" si="1"/>
        <v>288.04999999999995</v>
      </c>
      <c r="G14" s="2"/>
    </row>
    <row r="15" spans="1:8" x14ac:dyDescent="0.35">
      <c r="A15" s="9">
        <v>11</v>
      </c>
      <c r="B15" s="2" t="s">
        <v>257</v>
      </c>
      <c r="C15" s="22">
        <v>2.5000000000000001E-2</v>
      </c>
      <c r="D15" s="47">
        <f t="shared" si="0"/>
        <v>41.150000000000006</v>
      </c>
      <c r="E15" s="22">
        <v>2.5000000000000001E-2</v>
      </c>
      <c r="F15" s="22">
        <f t="shared" si="1"/>
        <v>41.150000000000006</v>
      </c>
      <c r="G15" s="2"/>
    </row>
    <row r="16" spans="1:8" x14ac:dyDescent="0.35">
      <c r="A16" s="9">
        <v>12</v>
      </c>
      <c r="B16" s="2" t="s">
        <v>333</v>
      </c>
      <c r="C16" s="22">
        <v>0.05</v>
      </c>
      <c r="D16" s="47">
        <f t="shared" si="0"/>
        <v>82.300000000000011</v>
      </c>
      <c r="E16" s="22">
        <v>0.05</v>
      </c>
      <c r="F16" s="22">
        <f t="shared" si="1"/>
        <v>82.300000000000011</v>
      </c>
      <c r="G16" s="2"/>
    </row>
    <row r="17" spans="1:8" x14ac:dyDescent="0.35">
      <c r="A17" s="9">
        <v>13</v>
      </c>
      <c r="B17" s="2" t="s">
        <v>317</v>
      </c>
      <c r="C17" s="22">
        <v>0.1</v>
      </c>
      <c r="D17" s="47">
        <f t="shared" si="0"/>
        <v>164.60000000000002</v>
      </c>
      <c r="E17" s="22">
        <v>0.1</v>
      </c>
      <c r="F17" s="22">
        <f t="shared" si="1"/>
        <v>164.60000000000002</v>
      </c>
      <c r="G17" s="2"/>
    </row>
    <row r="18" spans="1:8" x14ac:dyDescent="0.35">
      <c r="A18" s="9">
        <v>14</v>
      </c>
      <c r="B18" s="2" t="s">
        <v>259</v>
      </c>
      <c r="C18" s="22">
        <v>0.25</v>
      </c>
      <c r="D18" s="47">
        <f t="shared" si="0"/>
        <v>411.5</v>
      </c>
      <c r="E18" s="22">
        <v>0.25</v>
      </c>
      <c r="F18" s="22">
        <f t="shared" si="1"/>
        <v>411.5</v>
      </c>
      <c r="G18" s="2"/>
    </row>
    <row r="19" spans="1:8" x14ac:dyDescent="0.35">
      <c r="A19" s="9">
        <v>15</v>
      </c>
      <c r="B19" s="2" t="s">
        <v>260</v>
      </c>
      <c r="C19" s="22">
        <v>0.1</v>
      </c>
      <c r="D19" s="47">
        <f t="shared" si="0"/>
        <v>164.60000000000002</v>
      </c>
      <c r="E19" s="22">
        <v>0.1</v>
      </c>
      <c r="F19" s="22">
        <f t="shared" si="1"/>
        <v>164.60000000000002</v>
      </c>
      <c r="G19" s="2"/>
    </row>
    <row r="20" spans="1:8" x14ac:dyDescent="0.35">
      <c r="A20" s="9">
        <v>16</v>
      </c>
      <c r="B20" s="2" t="s">
        <v>262</v>
      </c>
      <c r="C20" s="22">
        <v>0.05</v>
      </c>
      <c r="D20" s="47">
        <f t="shared" si="0"/>
        <v>82.300000000000011</v>
      </c>
      <c r="E20" s="22">
        <v>0.05</v>
      </c>
      <c r="F20" s="22">
        <f t="shared" si="1"/>
        <v>82.300000000000011</v>
      </c>
      <c r="G20" s="2" t="s">
        <v>338</v>
      </c>
    </row>
    <row r="21" spans="1:8" x14ac:dyDescent="0.35">
      <c r="A21" s="9">
        <v>17</v>
      </c>
      <c r="B21" s="2" t="s">
        <v>154</v>
      </c>
      <c r="C21" s="22">
        <v>22.75</v>
      </c>
      <c r="D21" s="47">
        <f t="shared" si="0"/>
        <v>37446.5</v>
      </c>
      <c r="E21" s="22">
        <v>22.9</v>
      </c>
      <c r="F21" s="22">
        <f t="shared" si="1"/>
        <v>37693.399999999994</v>
      </c>
      <c r="G21" s="2"/>
    </row>
    <row r="22" spans="1:8" x14ac:dyDescent="0.35">
      <c r="A22" s="9">
        <v>18</v>
      </c>
      <c r="B22" s="2"/>
      <c r="C22" s="22"/>
      <c r="D22" s="47">
        <f>C22*$E$3</f>
        <v>0</v>
      </c>
      <c r="E22" s="22"/>
      <c r="F22" s="22">
        <f>E22*$F$3</f>
        <v>0</v>
      </c>
      <c r="G22" s="2"/>
    </row>
    <row r="23" spans="1:8" x14ac:dyDescent="0.35">
      <c r="A23" s="9">
        <v>19</v>
      </c>
      <c r="B23" s="2"/>
      <c r="C23" s="22"/>
      <c r="D23" s="47">
        <f t="shared" si="0"/>
        <v>0</v>
      </c>
      <c r="E23" s="22"/>
      <c r="F23" s="22">
        <f>E23*$F$3</f>
        <v>0</v>
      </c>
      <c r="G23" s="2"/>
    </row>
    <row r="24" spans="1:8" x14ac:dyDescent="0.35">
      <c r="A24" s="9">
        <v>20</v>
      </c>
      <c r="B24" s="2"/>
      <c r="C24" s="22"/>
      <c r="D24" s="47">
        <f t="shared" si="0"/>
        <v>0</v>
      </c>
      <c r="E24" s="18"/>
      <c r="F24" s="18">
        <f t="shared" si="1"/>
        <v>0</v>
      </c>
      <c r="G24" s="2"/>
    </row>
    <row r="25" spans="1:8" x14ac:dyDescent="0.35">
      <c r="A25" s="9"/>
      <c r="B25" s="5" t="s">
        <v>30</v>
      </c>
      <c r="C25" s="23">
        <f>SUM(C5:C24)</f>
        <v>50</v>
      </c>
      <c r="D25" s="23">
        <f t="shared" si="0"/>
        <v>82300</v>
      </c>
      <c r="E25" s="23">
        <f>SUM(E5:E24)</f>
        <v>50.150000000000006</v>
      </c>
      <c r="F25" s="23">
        <f>SUM(F5:F24)</f>
        <v>82546.899999999994</v>
      </c>
      <c r="G25" s="12">
        <v>100</v>
      </c>
      <c r="H25" s="1" t="s">
        <v>221</v>
      </c>
    </row>
    <row r="26" spans="1:8" x14ac:dyDescent="0.35">
      <c r="A26" s="9"/>
      <c r="B26" s="2" t="s">
        <v>339</v>
      </c>
      <c r="C26" s="22">
        <v>1</v>
      </c>
      <c r="D26" s="18"/>
      <c r="E26" s="18"/>
      <c r="F26" s="18"/>
      <c r="G26" s="12">
        <v>100</v>
      </c>
      <c r="H26" s="1" t="s">
        <v>222</v>
      </c>
    </row>
    <row r="27" spans="1:8" x14ac:dyDescent="0.35">
      <c r="A27" s="9"/>
      <c r="B27" s="2" t="s">
        <v>293</v>
      </c>
      <c r="C27" s="22">
        <v>1</v>
      </c>
      <c r="D27" s="18"/>
      <c r="E27" s="18"/>
      <c r="F27" s="18"/>
      <c r="G27" s="12">
        <f>F25-G3-G25-G26</f>
        <v>46.899999999994179</v>
      </c>
      <c r="H27" s="1" t="s">
        <v>223</v>
      </c>
    </row>
    <row r="28" spans="1:8" x14ac:dyDescent="0.35">
      <c r="A28" s="9"/>
      <c r="B28" s="2" t="s">
        <v>294</v>
      </c>
      <c r="C28" s="22">
        <v>1</v>
      </c>
      <c r="D28" s="18"/>
      <c r="E28" s="18"/>
      <c r="F28" s="18">
        <f>F25-100</f>
        <v>82446.899999999994</v>
      </c>
      <c r="G28" s="12"/>
    </row>
    <row r="29" spans="1:8" x14ac:dyDescent="0.35">
      <c r="A29" s="9"/>
      <c r="B29" s="1" t="s">
        <v>24</v>
      </c>
      <c r="C29" s="22">
        <v>10</v>
      </c>
      <c r="D29" s="18"/>
      <c r="E29" s="18"/>
      <c r="F29" s="18"/>
      <c r="G29" s="12"/>
    </row>
  </sheetData>
  <mergeCells count="2">
    <mergeCell ref="A1:F1"/>
    <mergeCell ref="A2:F2"/>
  </mergeCells>
  <pageMargins left="0.31496062992125984" right="0.11811023622047245" top="0.15748031496062992" bottom="0.15748031496062992" header="0.31496062992125984" footer="0.31496062992125984"/>
  <pageSetup paperSize="9" scale="55" orientation="portrait" horizontalDpi="203" verticalDpi="20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9"/>
  <sheetViews>
    <sheetView showGridLines="0" topLeftCell="A36" zoomScale="55" zoomScaleNormal="55" workbookViewId="0">
      <selection activeCell="H17" sqref="H17"/>
    </sheetView>
  </sheetViews>
  <sheetFormatPr defaultColWidth="8.81640625" defaultRowHeight="14.5" x14ac:dyDescent="0.35"/>
  <cols>
    <col min="1" max="1" width="16.81640625" style="7" customWidth="1"/>
    <col min="2" max="2" width="100.1796875" style="1" customWidth="1"/>
    <col min="3" max="3" width="22.54296875" style="24" customWidth="1"/>
    <col min="4" max="4" width="19.08984375" style="20" bestFit="1" customWidth="1"/>
    <col min="5" max="5" width="15.90625" style="20" customWidth="1"/>
    <col min="6" max="6" width="17.90625" style="20" customWidth="1"/>
    <col min="7" max="7" width="23.36328125" style="1" customWidth="1"/>
    <col min="8" max="8" width="9.1796875" style="1" bestFit="1" customWidth="1"/>
    <col min="9" max="16384" width="8.81640625" style="1"/>
  </cols>
  <sheetData>
    <row r="1" spans="1:8" ht="25.5" customHeight="1" x14ac:dyDescent="0.4">
      <c r="A1" s="57" t="s">
        <v>31</v>
      </c>
      <c r="B1" s="57"/>
      <c r="C1" s="57"/>
      <c r="D1" s="57"/>
      <c r="E1" s="57"/>
      <c r="F1" s="57"/>
    </row>
    <row r="2" spans="1:8" x14ac:dyDescent="0.35">
      <c r="A2" s="58"/>
      <c r="B2" s="58"/>
      <c r="C2" s="58"/>
      <c r="D2" s="58"/>
      <c r="E2" s="58"/>
      <c r="F2" s="58"/>
    </row>
    <row r="3" spans="1:8" s="7" customFormat="1" ht="27" customHeight="1" x14ac:dyDescent="0.35">
      <c r="A3" s="6" t="s">
        <v>0</v>
      </c>
      <c r="B3" s="6" t="s">
        <v>172</v>
      </c>
      <c r="C3" s="21" t="s">
        <v>340</v>
      </c>
      <c r="D3" s="17" t="s">
        <v>335</v>
      </c>
      <c r="E3" s="17">
        <v>4766</v>
      </c>
      <c r="F3" s="17">
        <v>4766</v>
      </c>
      <c r="G3" s="28">
        <f>F3*200</f>
        <v>953200</v>
      </c>
      <c r="H3" s="28"/>
    </row>
    <row r="4" spans="1:8" s="7" customFormat="1" ht="53" customHeight="1" x14ac:dyDescent="0.35">
      <c r="A4" s="8" t="s">
        <v>2</v>
      </c>
      <c r="B4" s="8" t="s">
        <v>6</v>
      </c>
      <c r="C4" s="25" t="s">
        <v>160</v>
      </c>
      <c r="D4" s="27" t="s">
        <v>337</v>
      </c>
      <c r="E4" s="27" t="s">
        <v>243</v>
      </c>
      <c r="F4" s="27" t="s">
        <v>232</v>
      </c>
      <c r="G4" s="26" t="s">
        <v>4</v>
      </c>
    </row>
    <row r="5" spans="1:8" x14ac:dyDescent="0.35">
      <c r="A5" s="9">
        <v>1</v>
      </c>
      <c r="B5" s="2" t="s">
        <v>312</v>
      </c>
      <c r="C5" s="22">
        <v>6</v>
      </c>
      <c r="D5" s="47">
        <f>C5*$E$3</f>
        <v>28596</v>
      </c>
      <c r="E5" s="22">
        <v>6</v>
      </c>
      <c r="F5" s="22">
        <f>E5*$F$3</f>
        <v>28596</v>
      </c>
      <c r="G5" s="2"/>
    </row>
    <row r="6" spans="1:8" x14ac:dyDescent="0.35">
      <c r="A6" s="9">
        <v>2</v>
      </c>
      <c r="B6" s="2" t="s">
        <v>316</v>
      </c>
      <c r="C6" s="22">
        <v>6</v>
      </c>
      <c r="D6" s="47">
        <f t="shared" ref="D6:D25" si="0">C6*$E$3</f>
        <v>28596</v>
      </c>
      <c r="E6" s="22">
        <v>6</v>
      </c>
      <c r="F6" s="22">
        <f t="shared" ref="F6:F24" si="1">E6*$F$3</f>
        <v>28596</v>
      </c>
      <c r="G6" s="2"/>
    </row>
    <row r="7" spans="1:8" x14ac:dyDescent="0.35">
      <c r="A7" s="9">
        <v>3</v>
      </c>
      <c r="B7" s="2" t="s">
        <v>5</v>
      </c>
      <c r="C7" s="22">
        <v>6</v>
      </c>
      <c r="D7" s="47">
        <f t="shared" si="0"/>
        <v>28596</v>
      </c>
      <c r="E7" s="22">
        <v>6</v>
      </c>
      <c r="F7" s="22">
        <f t="shared" si="1"/>
        <v>28596</v>
      </c>
      <c r="G7" s="2"/>
    </row>
    <row r="8" spans="1:8" x14ac:dyDescent="0.35">
      <c r="A8" s="9">
        <v>4</v>
      </c>
      <c r="B8" s="2" t="s">
        <v>92</v>
      </c>
      <c r="C8" s="22">
        <v>6</v>
      </c>
      <c r="D8" s="47">
        <f t="shared" si="0"/>
        <v>28596</v>
      </c>
      <c r="E8" s="22">
        <v>6</v>
      </c>
      <c r="F8" s="22">
        <f t="shared" si="1"/>
        <v>28596</v>
      </c>
      <c r="G8" s="2"/>
    </row>
    <row r="9" spans="1:8" x14ac:dyDescent="0.35">
      <c r="A9" s="9">
        <v>5</v>
      </c>
      <c r="B9" s="2" t="s">
        <v>330</v>
      </c>
      <c r="C9" s="22">
        <v>6</v>
      </c>
      <c r="D9" s="47">
        <f t="shared" si="0"/>
        <v>28596</v>
      </c>
      <c r="E9" s="22">
        <v>6</v>
      </c>
      <c r="F9" s="22">
        <f t="shared" si="1"/>
        <v>28596</v>
      </c>
      <c r="G9" s="2"/>
    </row>
    <row r="10" spans="1:8" x14ac:dyDescent="0.35">
      <c r="A10" s="9">
        <v>6</v>
      </c>
      <c r="B10" s="2" t="s">
        <v>254</v>
      </c>
      <c r="C10" s="22">
        <v>4</v>
      </c>
      <c r="D10" s="47">
        <f t="shared" si="0"/>
        <v>19064</v>
      </c>
      <c r="E10" s="22">
        <v>4</v>
      </c>
      <c r="F10" s="22">
        <f t="shared" si="1"/>
        <v>19064</v>
      </c>
      <c r="G10" s="2"/>
    </row>
    <row r="11" spans="1:8" x14ac:dyDescent="0.35">
      <c r="A11" s="9">
        <v>7</v>
      </c>
      <c r="B11" s="2" t="s">
        <v>76</v>
      </c>
      <c r="C11" s="22">
        <v>4</v>
      </c>
      <c r="D11" s="47">
        <f t="shared" si="0"/>
        <v>19064</v>
      </c>
      <c r="E11" s="22">
        <v>4</v>
      </c>
      <c r="F11" s="22">
        <f t="shared" si="1"/>
        <v>19064</v>
      </c>
      <c r="G11" s="2"/>
    </row>
    <row r="12" spans="1:8" x14ac:dyDescent="0.35">
      <c r="A12" s="9">
        <v>8</v>
      </c>
      <c r="B12" s="2" t="s">
        <v>275</v>
      </c>
      <c r="C12" s="22">
        <v>4</v>
      </c>
      <c r="D12" s="47">
        <f t="shared" si="0"/>
        <v>19064</v>
      </c>
      <c r="E12" s="22">
        <v>4</v>
      </c>
      <c r="F12" s="22">
        <f t="shared" si="1"/>
        <v>19064</v>
      </c>
      <c r="G12" s="2"/>
    </row>
    <row r="13" spans="1:8" x14ac:dyDescent="0.35">
      <c r="A13" s="9">
        <v>9</v>
      </c>
      <c r="B13" s="2" t="s">
        <v>341</v>
      </c>
      <c r="C13" s="22">
        <v>2</v>
      </c>
      <c r="D13" s="47">
        <f t="shared" si="0"/>
        <v>9532</v>
      </c>
      <c r="E13" s="22">
        <v>2</v>
      </c>
      <c r="F13" s="22">
        <f t="shared" si="1"/>
        <v>9532</v>
      </c>
      <c r="G13" s="2"/>
    </row>
    <row r="14" spans="1:8" ht="28.5" x14ac:dyDescent="0.35">
      <c r="A14" s="9">
        <v>10</v>
      </c>
      <c r="B14" s="13" t="s">
        <v>342</v>
      </c>
      <c r="C14" s="22">
        <v>2</v>
      </c>
      <c r="D14" s="47">
        <f t="shared" si="0"/>
        <v>9532</v>
      </c>
      <c r="E14" s="22">
        <v>2</v>
      </c>
      <c r="F14" s="22">
        <f t="shared" si="1"/>
        <v>9532</v>
      </c>
      <c r="G14" s="2"/>
    </row>
    <row r="15" spans="1:8" x14ac:dyDescent="0.35">
      <c r="A15" s="9">
        <v>11</v>
      </c>
      <c r="B15" s="2" t="s">
        <v>259</v>
      </c>
      <c r="C15" s="22">
        <v>1</v>
      </c>
      <c r="D15" s="47">
        <f t="shared" si="0"/>
        <v>4766</v>
      </c>
      <c r="E15" s="22">
        <v>1</v>
      </c>
      <c r="F15" s="22">
        <f t="shared" si="1"/>
        <v>4766</v>
      </c>
      <c r="G15" s="2"/>
    </row>
    <row r="16" spans="1:8" x14ac:dyDescent="0.35">
      <c r="A16" s="9">
        <v>12</v>
      </c>
      <c r="B16" s="2" t="s">
        <v>262</v>
      </c>
      <c r="C16" s="22">
        <v>0.1</v>
      </c>
      <c r="D16" s="47">
        <f t="shared" si="0"/>
        <v>476.6</v>
      </c>
      <c r="E16" s="22">
        <v>0.1</v>
      </c>
      <c r="F16" s="22">
        <f t="shared" si="1"/>
        <v>476.6</v>
      </c>
      <c r="G16" s="2" t="s">
        <v>338</v>
      </c>
    </row>
    <row r="17" spans="1:8" x14ac:dyDescent="0.35">
      <c r="A17" s="9">
        <v>13</v>
      </c>
      <c r="B17" s="2" t="s">
        <v>154</v>
      </c>
      <c r="C17" s="22">
        <v>152.9</v>
      </c>
      <c r="D17" s="47">
        <f t="shared" si="0"/>
        <v>728721.4</v>
      </c>
      <c r="E17" s="22">
        <v>153.19999999999999</v>
      </c>
      <c r="F17" s="22">
        <f t="shared" si="1"/>
        <v>730151.2</v>
      </c>
      <c r="G17" s="2" t="s">
        <v>400</v>
      </c>
    </row>
    <row r="18" spans="1:8" x14ac:dyDescent="0.35">
      <c r="A18" s="9">
        <v>14</v>
      </c>
      <c r="B18" s="2"/>
      <c r="C18" s="22"/>
      <c r="D18" s="47">
        <f t="shared" si="0"/>
        <v>0</v>
      </c>
      <c r="E18" s="22"/>
      <c r="F18" s="22">
        <f t="shared" si="1"/>
        <v>0</v>
      </c>
      <c r="G18" s="2"/>
    </row>
    <row r="19" spans="1:8" x14ac:dyDescent="0.35">
      <c r="A19" s="9">
        <v>15</v>
      </c>
      <c r="B19" s="2"/>
      <c r="C19" s="22"/>
      <c r="D19" s="47">
        <f t="shared" si="0"/>
        <v>0</v>
      </c>
      <c r="E19" s="22"/>
      <c r="F19" s="22">
        <f t="shared" si="1"/>
        <v>0</v>
      </c>
      <c r="G19" s="2"/>
    </row>
    <row r="20" spans="1:8" x14ac:dyDescent="0.35">
      <c r="A20" s="9">
        <v>16</v>
      </c>
      <c r="B20" s="2"/>
      <c r="C20" s="22"/>
      <c r="D20" s="47">
        <f t="shared" si="0"/>
        <v>0</v>
      </c>
      <c r="E20" s="22"/>
      <c r="F20" s="22">
        <f t="shared" si="1"/>
        <v>0</v>
      </c>
    </row>
    <row r="21" spans="1:8" x14ac:dyDescent="0.35">
      <c r="A21" s="9">
        <v>17</v>
      </c>
      <c r="B21" s="2"/>
      <c r="C21" s="22"/>
      <c r="D21" s="47">
        <f t="shared" si="0"/>
        <v>0</v>
      </c>
      <c r="E21" s="22"/>
      <c r="F21" s="22">
        <f t="shared" si="1"/>
        <v>0</v>
      </c>
      <c r="G21" s="2"/>
    </row>
    <row r="22" spans="1:8" x14ac:dyDescent="0.35">
      <c r="A22" s="9">
        <v>18</v>
      </c>
      <c r="B22" s="2"/>
      <c r="C22" s="22"/>
      <c r="D22" s="47">
        <f>C22*$E$3</f>
        <v>0</v>
      </c>
      <c r="E22" s="22"/>
      <c r="F22" s="22">
        <f>E22*$F$3</f>
        <v>0</v>
      </c>
      <c r="G22" s="2"/>
    </row>
    <row r="23" spans="1:8" x14ac:dyDescent="0.35">
      <c r="A23" s="9">
        <v>19</v>
      </c>
      <c r="B23" s="2"/>
      <c r="C23" s="22"/>
      <c r="D23" s="47">
        <f t="shared" si="0"/>
        <v>0</v>
      </c>
      <c r="E23" s="22"/>
      <c r="F23" s="22">
        <f>E23*$F$3</f>
        <v>0</v>
      </c>
      <c r="G23" s="2"/>
    </row>
    <row r="24" spans="1:8" x14ac:dyDescent="0.35">
      <c r="A24" s="9">
        <v>20</v>
      </c>
      <c r="B24" s="2"/>
      <c r="C24" s="22"/>
      <c r="D24" s="47">
        <f t="shared" si="0"/>
        <v>0</v>
      </c>
      <c r="E24" s="18"/>
      <c r="F24" s="18">
        <f t="shared" si="1"/>
        <v>0</v>
      </c>
      <c r="G24" s="2"/>
    </row>
    <row r="25" spans="1:8" x14ac:dyDescent="0.35">
      <c r="A25" s="9"/>
      <c r="B25" s="5" t="s">
        <v>30</v>
      </c>
      <c r="C25" s="23">
        <f>SUM(C5:C24)</f>
        <v>200</v>
      </c>
      <c r="D25" s="23">
        <f t="shared" si="0"/>
        <v>953200</v>
      </c>
      <c r="E25" s="23">
        <f>SUM(E5:E24)</f>
        <v>200.29999999999998</v>
      </c>
      <c r="F25" s="23">
        <f>SUM(F5:F24)</f>
        <v>954629.79999999993</v>
      </c>
      <c r="G25" s="12">
        <v>100</v>
      </c>
      <c r="H25" s="1" t="s">
        <v>221</v>
      </c>
    </row>
    <row r="26" spans="1:8" x14ac:dyDescent="0.35">
      <c r="A26" s="9"/>
      <c r="B26" s="2" t="s">
        <v>339</v>
      </c>
      <c r="C26" s="22">
        <v>1</v>
      </c>
      <c r="D26" s="18"/>
      <c r="E26" s="18"/>
      <c r="F26" s="18"/>
      <c r="G26" s="12">
        <v>400</v>
      </c>
      <c r="H26" s="1" t="s">
        <v>222</v>
      </c>
    </row>
    <row r="27" spans="1:8" x14ac:dyDescent="0.35">
      <c r="A27" s="9"/>
      <c r="B27" s="2" t="s">
        <v>293</v>
      </c>
      <c r="C27" s="22">
        <v>1</v>
      </c>
      <c r="D27" s="18"/>
      <c r="E27" s="18"/>
      <c r="F27" s="18"/>
      <c r="G27" s="12">
        <f>F25-G3-G25-G26</f>
        <v>929.79999999993015</v>
      </c>
      <c r="H27" s="1" t="s">
        <v>223</v>
      </c>
    </row>
    <row r="28" spans="1:8" x14ac:dyDescent="0.35">
      <c r="A28" s="9"/>
      <c r="B28" s="2" t="s">
        <v>294</v>
      </c>
      <c r="C28" s="22">
        <v>1</v>
      </c>
      <c r="D28" s="18"/>
      <c r="E28" s="18"/>
      <c r="F28" s="18">
        <f>F25-100</f>
        <v>954529.79999999993</v>
      </c>
      <c r="G28" s="12"/>
    </row>
    <row r="29" spans="1:8" x14ac:dyDescent="0.35">
      <c r="A29" s="9"/>
      <c r="B29" s="1" t="s">
        <v>24</v>
      </c>
      <c r="C29" s="22">
        <v>10</v>
      </c>
      <c r="D29" s="18"/>
      <c r="E29" s="18"/>
      <c r="F29" s="18"/>
      <c r="G29" s="12"/>
    </row>
  </sheetData>
  <mergeCells count="2">
    <mergeCell ref="A1:F1"/>
    <mergeCell ref="A2:F2"/>
  </mergeCells>
  <pageMargins left="0.31496062992125984" right="0.11811023622047245" top="0.15748031496062992" bottom="0.15748031496062992" header="0.31496062992125984" footer="0.31496062992125984"/>
  <pageSetup paperSize="9" scale="55" orientation="portrait" horizontalDpi="203" verticalDpi="20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9"/>
  <sheetViews>
    <sheetView showGridLines="0" topLeftCell="A23" zoomScale="55" zoomScaleNormal="55" workbookViewId="0">
      <selection activeCell="M33" sqref="M33"/>
    </sheetView>
  </sheetViews>
  <sheetFormatPr defaultColWidth="8.81640625" defaultRowHeight="14.5" x14ac:dyDescent="0.35"/>
  <cols>
    <col min="1" max="1" width="16.81640625" style="7" customWidth="1"/>
    <col min="2" max="2" width="100.1796875" style="1" customWidth="1"/>
    <col min="3" max="3" width="22.54296875" style="24" customWidth="1"/>
    <col min="4" max="4" width="19.08984375" style="20" bestFit="1" customWidth="1"/>
    <col min="5" max="5" width="15.90625" style="20" customWidth="1"/>
    <col min="6" max="6" width="17.90625" style="20" customWidth="1"/>
    <col min="7" max="7" width="23.36328125" style="1" customWidth="1"/>
    <col min="8" max="8" width="9.1796875" style="1" bestFit="1" customWidth="1"/>
    <col min="9" max="16384" width="8.81640625" style="1"/>
  </cols>
  <sheetData>
    <row r="1" spans="1:8" ht="25.5" customHeight="1" x14ac:dyDescent="0.4">
      <c r="A1" s="57" t="s">
        <v>31</v>
      </c>
      <c r="B1" s="57"/>
      <c r="C1" s="57"/>
      <c r="D1" s="57"/>
      <c r="E1" s="57"/>
      <c r="F1" s="57"/>
    </row>
    <row r="2" spans="1:8" x14ac:dyDescent="0.35">
      <c r="A2" s="58"/>
      <c r="B2" s="58"/>
      <c r="C2" s="58"/>
      <c r="D2" s="58"/>
      <c r="E2" s="58"/>
      <c r="F2" s="58"/>
    </row>
    <row r="3" spans="1:8" s="7" customFormat="1" ht="27" customHeight="1" x14ac:dyDescent="0.35">
      <c r="A3" s="6" t="s">
        <v>0</v>
      </c>
      <c r="B3" s="6" t="s">
        <v>357</v>
      </c>
      <c r="C3" s="21" t="s">
        <v>365</v>
      </c>
      <c r="D3" s="17"/>
      <c r="E3" s="17">
        <v>12000</v>
      </c>
      <c r="F3" s="17">
        <f>E3*45.1</f>
        <v>541200</v>
      </c>
      <c r="G3" s="28">
        <f>E3*45.1+100+45.1+45.1</f>
        <v>541390.19999999995</v>
      </c>
      <c r="H3" s="28"/>
    </row>
    <row r="4" spans="1:8" s="7" customFormat="1" ht="53" customHeight="1" x14ac:dyDescent="0.35">
      <c r="A4" s="8" t="s">
        <v>2</v>
      </c>
      <c r="B4" s="8" t="s">
        <v>6</v>
      </c>
      <c r="C4" s="25" t="s">
        <v>366</v>
      </c>
      <c r="D4" s="27" t="s">
        <v>367</v>
      </c>
      <c r="E4" s="27" t="s">
        <v>368</v>
      </c>
      <c r="F4" s="27" t="s">
        <v>232</v>
      </c>
      <c r="G4" s="26" t="s">
        <v>4</v>
      </c>
    </row>
    <row r="5" spans="1:8" x14ac:dyDescent="0.35">
      <c r="A5" s="9">
        <v>1</v>
      </c>
      <c r="B5" s="2" t="s">
        <v>358</v>
      </c>
      <c r="C5" s="56">
        <v>17.589000000000002</v>
      </c>
      <c r="D5" s="47">
        <f>C5*$E$3</f>
        <v>211068.00000000003</v>
      </c>
      <c r="E5" s="56">
        <v>17.589000000000002</v>
      </c>
      <c r="F5" s="22">
        <f>E5*$E$3</f>
        <v>211068.00000000003</v>
      </c>
      <c r="G5" s="2"/>
    </row>
    <row r="6" spans="1:8" x14ac:dyDescent="0.35">
      <c r="A6" s="9">
        <v>2</v>
      </c>
      <c r="B6" s="2" t="s">
        <v>359</v>
      </c>
      <c r="C6" s="56">
        <v>4.5100000000000007</v>
      </c>
      <c r="D6" s="47">
        <f t="shared" ref="D6:D24" si="0">C6*$E$3</f>
        <v>54120.000000000007</v>
      </c>
      <c r="E6" s="56">
        <v>4.5100000000000007</v>
      </c>
      <c r="F6" s="22">
        <f t="shared" ref="F6:F24" si="1">E6*$E$3</f>
        <v>54120.000000000007</v>
      </c>
      <c r="G6" s="2"/>
    </row>
    <row r="7" spans="1:8" x14ac:dyDescent="0.35">
      <c r="A7" s="9">
        <v>3</v>
      </c>
      <c r="B7" s="2" t="s">
        <v>360</v>
      </c>
      <c r="C7" s="56">
        <v>11.275</v>
      </c>
      <c r="D7" s="47">
        <f t="shared" si="0"/>
        <v>135300</v>
      </c>
      <c r="E7" s="56">
        <v>11.275</v>
      </c>
      <c r="F7" s="22">
        <f t="shared" si="1"/>
        <v>135300</v>
      </c>
      <c r="G7" s="2"/>
    </row>
    <row r="8" spans="1:8" x14ac:dyDescent="0.35">
      <c r="A8" s="9">
        <v>4</v>
      </c>
      <c r="B8" s="2" t="s">
        <v>361</v>
      </c>
      <c r="C8" s="56">
        <v>4.5100000000000001E-2</v>
      </c>
      <c r="D8" s="47">
        <f t="shared" si="0"/>
        <v>541.20000000000005</v>
      </c>
      <c r="E8" s="56">
        <v>4.5100000000000001E-2</v>
      </c>
      <c r="F8" s="22">
        <f t="shared" si="1"/>
        <v>541.20000000000005</v>
      </c>
      <c r="G8" s="2"/>
    </row>
    <row r="9" spans="1:8" x14ac:dyDescent="0.35">
      <c r="A9" s="9">
        <v>5</v>
      </c>
      <c r="B9" s="2" t="s">
        <v>362</v>
      </c>
      <c r="C9" s="56">
        <v>4.0590000000000001E-3</v>
      </c>
      <c r="D9" s="47">
        <f t="shared" si="0"/>
        <v>48.707999999999998</v>
      </c>
      <c r="E9" s="56">
        <v>4.0590000000000001E-3</v>
      </c>
      <c r="F9" s="22">
        <f t="shared" si="1"/>
        <v>48.707999999999998</v>
      </c>
      <c r="G9" s="2"/>
    </row>
    <row r="10" spans="1:8" x14ac:dyDescent="0.35">
      <c r="A10" s="9">
        <v>6</v>
      </c>
      <c r="B10" s="2" t="s">
        <v>363</v>
      </c>
      <c r="C10" s="56">
        <v>4.0590000000000001E-3</v>
      </c>
      <c r="D10" s="47">
        <f t="shared" si="0"/>
        <v>48.707999999999998</v>
      </c>
      <c r="E10" s="56">
        <v>4.0590000000000001E-3</v>
      </c>
      <c r="F10" s="22">
        <f t="shared" si="1"/>
        <v>48.707999999999998</v>
      </c>
      <c r="G10" s="2"/>
    </row>
    <row r="11" spans="1:8" x14ac:dyDescent="0.35">
      <c r="A11" s="9">
        <v>7</v>
      </c>
      <c r="B11" s="2" t="s">
        <v>364</v>
      </c>
      <c r="C11" s="56">
        <v>3.6080000000000005E-3</v>
      </c>
      <c r="D11" s="47">
        <f t="shared" si="0"/>
        <v>43.296000000000006</v>
      </c>
      <c r="E11" s="56">
        <v>3.6080000000000005E-3</v>
      </c>
      <c r="F11" s="22">
        <f t="shared" si="1"/>
        <v>43.296000000000006</v>
      </c>
      <c r="G11" s="2"/>
    </row>
    <row r="12" spans="1:8" x14ac:dyDescent="0.35">
      <c r="A12" s="9">
        <v>8</v>
      </c>
      <c r="B12" s="2"/>
      <c r="C12" s="22"/>
      <c r="D12" s="47">
        <f t="shared" si="0"/>
        <v>0</v>
      </c>
      <c r="E12" s="22"/>
      <c r="F12" s="22">
        <f t="shared" si="1"/>
        <v>0</v>
      </c>
      <c r="G12" s="2"/>
    </row>
    <row r="13" spans="1:8" x14ac:dyDescent="0.35">
      <c r="A13" s="9">
        <v>9</v>
      </c>
      <c r="B13" s="2"/>
      <c r="C13" s="22"/>
      <c r="D13" s="47">
        <f t="shared" si="0"/>
        <v>0</v>
      </c>
      <c r="E13" s="22"/>
      <c r="F13" s="22">
        <f t="shared" si="1"/>
        <v>0</v>
      </c>
      <c r="G13" s="2"/>
    </row>
    <row r="14" spans="1:8" x14ac:dyDescent="0.35">
      <c r="A14" s="9">
        <v>10</v>
      </c>
      <c r="B14" s="13"/>
      <c r="C14" s="22"/>
      <c r="D14" s="47">
        <f t="shared" si="0"/>
        <v>0</v>
      </c>
      <c r="E14" s="22"/>
      <c r="F14" s="22">
        <f t="shared" si="1"/>
        <v>0</v>
      </c>
      <c r="G14" s="2"/>
    </row>
    <row r="15" spans="1:8" x14ac:dyDescent="0.35">
      <c r="A15" s="9">
        <v>11</v>
      </c>
      <c r="B15" s="2"/>
      <c r="C15" s="22"/>
      <c r="D15" s="47">
        <f t="shared" si="0"/>
        <v>0</v>
      </c>
      <c r="E15" s="22"/>
      <c r="F15" s="22">
        <f t="shared" si="1"/>
        <v>0</v>
      </c>
      <c r="G15" s="2"/>
    </row>
    <row r="16" spans="1:8" x14ac:dyDescent="0.35">
      <c r="A16" s="9">
        <v>12</v>
      </c>
      <c r="B16" s="2"/>
      <c r="C16" s="22"/>
      <c r="D16" s="47">
        <f t="shared" si="0"/>
        <v>0</v>
      </c>
      <c r="E16" s="22"/>
      <c r="F16" s="22">
        <f t="shared" si="1"/>
        <v>0</v>
      </c>
      <c r="G16" s="2"/>
    </row>
    <row r="17" spans="1:8" x14ac:dyDescent="0.35">
      <c r="A17" s="9">
        <v>13</v>
      </c>
      <c r="B17" s="2"/>
      <c r="C17" s="22"/>
      <c r="D17" s="47">
        <f t="shared" si="0"/>
        <v>0</v>
      </c>
      <c r="E17" s="22"/>
      <c r="F17" s="22">
        <f t="shared" si="1"/>
        <v>0</v>
      </c>
      <c r="G17" s="2"/>
    </row>
    <row r="18" spans="1:8" x14ac:dyDescent="0.35">
      <c r="A18" s="9">
        <v>14</v>
      </c>
      <c r="B18" s="2"/>
      <c r="C18" s="22"/>
      <c r="D18" s="47">
        <f t="shared" si="0"/>
        <v>0</v>
      </c>
      <c r="E18" s="22"/>
      <c r="F18" s="22">
        <f t="shared" si="1"/>
        <v>0</v>
      </c>
      <c r="G18" s="2"/>
    </row>
    <row r="19" spans="1:8" x14ac:dyDescent="0.35">
      <c r="A19" s="9">
        <v>15</v>
      </c>
      <c r="B19" s="2"/>
      <c r="C19" s="22"/>
      <c r="D19" s="47">
        <f t="shared" si="0"/>
        <v>0</v>
      </c>
      <c r="E19" s="22"/>
      <c r="F19" s="22">
        <f t="shared" si="1"/>
        <v>0</v>
      </c>
      <c r="G19" s="2"/>
    </row>
    <row r="20" spans="1:8" x14ac:dyDescent="0.35">
      <c r="A20" s="9">
        <v>16</v>
      </c>
      <c r="B20" s="2"/>
      <c r="C20" s="22"/>
      <c r="D20" s="47">
        <f t="shared" si="0"/>
        <v>0</v>
      </c>
      <c r="E20" s="22"/>
      <c r="F20" s="22">
        <f t="shared" si="1"/>
        <v>0</v>
      </c>
    </row>
    <row r="21" spans="1:8" x14ac:dyDescent="0.35">
      <c r="A21" s="9">
        <v>17</v>
      </c>
      <c r="B21" s="2"/>
      <c r="C21" s="22"/>
      <c r="D21" s="47">
        <f t="shared" si="0"/>
        <v>0</v>
      </c>
      <c r="E21" s="22"/>
      <c r="F21" s="22">
        <f t="shared" si="1"/>
        <v>0</v>
      </c>
      <c r="G21" s="2"/>
    </row>
    <row r="22" spans="1:8" x14ac:dyDescent="0.35">
      <c r="A22" s="9">
        <v>18</v>
      </c>
      <c r="B22" s="2"/>
      <c r="C22" s="22"/>
      <c r="D22" s="47">
        <f t="shared" si="0"/>
        <v>0</v>
      </c>
      <c r="E22" s="22"/>
      <c r="F22" s="22">
        <f t="shared" si="1"/>
        <v>0</v>
      </c>
      <c r="G22" s="2"/>
    </row>
    <row r="23" spans="1:8" x14ac:dyDescent="0.35">
      <c r="A23" s="9">
        <v>19</v>
      </c>
      <c r="B23" s="2"/>
      <c r="C23" s="22"/>
      <c r="D23" s="47">
        <f t="shared" si="0"/>
        <v>0</v>
      </c>
      <c r="E23" s="22"/>
      <c r="F23" s="22">
        <f t="shared" si="1"/>
        <v>0</v>
      </c>
      <c r="G23" s="2"/>
    </row>
    <row r="24" spans="1:8" x14ac:dyDescent="0.35">
      <c r="A24" s="9">
        <v>20</v>
      </c>
      <c r="B24" s="2"/>
      <c r="C24" s="22"/>
      <c r="D24" s="47">
        <f t="shared" si="0"/>
        <v>0</v>
      </c>
      <c r="E24" s="18"/>
      <c r="F24" s="22">
        <f t="shared" si="1"/>
        <v>0</v>
      </c>
      <c r="G24" s="2"/>
    </row>
    <row r="25" spans="1:8" x14ac:dyDescent="0.35">
      <c r="A25" s="9"/>
      <c r="B25" s="5" t="s">
        <v>30</v>
      </c>
      <c r="C25" s="23">
        <f>SUM(C5:C24)</f>
        <v>33.430825999999996</v>
      </c>
      <c r="D25" s="23">
        <f>SUM(D5:D24)</f>
        <v>401169.91200000001</v>
      </c>
      <c r="E25" s="23">
        <f>SUM(E5:E24)</f>
        <v>33.430825999999996</v>
      </c>
      <c r="F25" s="23">
        <f>SUM(F5:F24)</f>
        <v>401169.91200000001</v>
      </c>
      <c r="G25" s="12">
        <v>100</v>
      </c>
      <c r="H25" s="1" t="s">
        <v>221</v>
      </c>
    </row>
    <row r="26" spans="1:8" x14ac:dyDescent="0.35">
      <c r="A26" s="9"/>
      <c r="B26" s="2" t="s">
        <v>292</v>
      </c>
      <c r="C26" s="22"/>
      <c r="D26" s="18"/>
      <c r="E26" s="18"/>
      <c r="F26" s="18"/>
      <c r="G26" s="12">
        <v>400</v>
      </c>
      <c r="H26" s="1" t="s">
        <v>222</v>
      </c>
    </row>
    <row r="27" spans="1:8" x14ac:dyDescent="0.35">
      <c r="A27" s="9"/>
      <c r="B27" s="2" t="s">
        <v>293</v>
      </c>
      <c r="C27" s="22"/>
      <c r="D27" s="18"/>
      <c r="E27" s="18"/>
      <c r="F27" s="18"/>
      <c r="G27" s="12">
        <f>F25-G3-G25-G26</f>
        <v>-140720.28799999994</v>
      </c>
      <c r="H27" s="1" t="s">
        <v>223</v>
      </c>
    </row>
    <row r="28" spans="1:8" x14ac:dyDescent="0.35">
      <c r="A28" s="9"/>
      <c r="B28" s="2" t="s">
        <v>369</v>
      </c>
      <c r="C28" s="22"/>
      <c r="D28" s="18"/>
      <c r="E28" s="18"/>
      <c r="F28" s="18">
        <f>F25-100</f>
        <v>401069.91200000001</v>
      </c>
      <c r="G28" s="12"/>
    </row>
    <row r="29" spans="1:8" x14ac:dyDescent="0.35">
      <c r="A29" s="9"/>
      <c r="B29" s="2" t="s">
        <v>24</v>
      </c>
      <c r="C29" s="22"/>
      <c r="D29" s="18"/>
      <c r="E29" s="18"/>
      <c r="F29" s="18"/>
      <c r="G29" s="12"/>
    </row>
    <row r="33" spans="1:8" s="7" customFormat="1" ht="27" customHeight="1" x14ac:dyDescent="0.35">
      <c r="A33" s="6" t="s">
        <v>0</v>
      </c>
      <c r="B33" s="6" t="s">
        <v>370</v>
      </c>
      <c r="C33" s="21" t="s">
        <v>371</v>
      </c>
      <c r="D33" s="17"/>
      <c r="E33" s="17">
        <v>6000</v>
      </c>
      <c r="F33" s="17">
        <f>E33*91.4</f>
        <v>548400</v>
      </c>
      <c r="G33" s="28">
        <f>E33*91.4+100+91.4+91.4</f>
        <v>548682.80000000005</v>
      </c>
      <c r="H33" s="28"/>
    </row>
    <row r="34" spans="1:8" s="7" customFormat="1" ht="53" customHeight="1" x14ac:dyDescent="0.35">
      <c r="A34" s="8" t="s">
        <v>2</v>
      </c>
      <c r="B34" s="8" t="s">
        <v>6</v>
      </c>
      <c r="C34" s="25" t="s">
        <v>372</v>
      </c>
      <c r="D34" s="27" t="s">
        <v>367</v>
      </c>
      <c r="E34" s="27" t="s">
        <v>373</v>
      </c>
      <c r="F34" s="27" t="s">
        <v>232</v>
      </c>
      <c r="G34" s="26" t="s">
        <v>4</v>
      </c>
    </row>
    <row r="35" spans="1:8" x14ac:dyDescent="0.35">
      <c r="A35" s="9">
        <v>1</v>
      </c>
      <c r="B35" s="2" t="s">
        <v>358</v>
      </c>
      <c r="C35" s="56">
        <v>35.646000000000001</v>
      </c>
      <c r="D35" s="47">
        <f>C35*$E$33</f>
        <v>213876</v>
      </c>
      <c r="E35" s="56">
        <v>35.646000000000001</v>
      </c>
      <c r="F35" s="22">
        <f>E35*$E$33</f>
        <v>213876</v>
      </c>
      <c r="G35" s="2"/>
    </row>
    <row r="36" spans="1:8" x14ac:dyDescent="0.35">
      <c r="A36" s="9">
        <v>2</v>
      </c>
      <c r="B36" s="2" t="s">
        <v>359</v>
      </c>
      <c r="C36" s="56">
        <v>9.14</v>
      </c>
      <c r="D36" s="47">
        <f t="shared" ref="D36:D54" si="2">C36*$E$33</f>
        <v>54840</v>
      </c>
      <c r="E36" s="56">
        <v>9.14</v>
      </c>
      <c r="F36" s="22">
        <f t="shared" ref="F36:F54" si="3">E36*$E$33</f>
        <v>54840</v>
      </c>
      <c r="G36" s="2"/>
    </row>
    <row r="37" spans="1:8" x14ac:dyDescent="0.35">
      <c r="A37" s="9">
        <v>3</v>
      </c>
      <c r="B37" s="2" t="s">
        <v>360</v>
      </c>
      <c r="C37" s="56">
        <v>22.85</v>
      </c>
      <c r="D37" s="47">
        <f t="shared" si="2"/>
        <v>137100</v>
      </c>
      <c r="E37" s="56">
        <v>22.85</v>
      </c>
      <c r="F37" s="22">
        <f t="shared" si="3"/>
        <v>137100</v>
      </c>
      <c r="G37" s="2"/>
    </row>
    <row r="38" spans="1:8" x14ac:dyDescent="0.35">
      <c r="A38" s="9">
        <v>4</v>
      </c>
      <c r="B38" s="2" t="s">
        <v>361</v>
      </c>
      <c r="C38" s="56">
        <v>9.1400000000000009E-2</v>
      </c>
      <c r="D38" s="47">
        <f t="shared" si="2"/>
        <v>548.40000000000009</v>
      </c>
      <c r="E38" s="56">
        <v>9.1400000000000009E-2</v>
      </c>
      <c r="F38" s="22">
        <f t="shared" si="3"/>
        <v>548.40000000000009</v>
      </c>
      <c r="G38" s="2"/>
    </row>
    <row r="39" spans="1:8" x14ac:dyDescent="0.35">
      <c r="A39" s="9">
        <v>5</v>
      </c>
      <c r="B39" s="2" t="s">
        <v>362</v>
      </c>
      <c r="C39" s="56">
        <v>8.2259999999999989E-3</v>
      </c>
      <c r="D39" s="47">
        <f t="shared" si="2"/>
        <v>49.355999999999995</v>
      </c>
      <c r="E39" s="56">
        <v>8.2259999999999989E-3</v>
      </c>
      <c r="F39" s="22">
        <f t="shared" si="3"/>
        <v>49.355999999999995</v>
      </c>
      <c r="G39" s="2"/>
    </row>
    <row r="40" spans="1:8" x14ac:dyDescent="0.35">
      <c r="A40" s="9">
        <v>6</v>
      </c>
      <c r="B40" s="2" t="s">
        <v>363</v>
      </c>
      <c r="C40" s="56">
        <v>8.2259999999999989E-3</v>
      </c>
      <c r="D40" s="47">
        <f t="shared" si="2"/>
        <v>49.355999999999995</v>
      </c>
      <c r="E40" s="56">
        <v>8.2259999999999989E-3</v>
      </c>
      <c r="F40" s="22">
        <f t="shared" si="3"/>
        <v>49.355999999999995</v>
      </c>
      <c r="G40" s="2"/>
    </row>
    <row r="41" spans="1:8" x14ac:dyDescent="0.35">
      <c r="A41" s="9">
        <v>7</v>
      </c>
      <c r="B41" s="2" t="s">
        <v>364</v>
      </c>
      <c r="C41" s="56">
        <v>7.3120000000000008E-3</v>
      </c>
      <c r="D41" s="47">
        <f t="shared" si="2"/>
        <v>43.872000000000007</v>
      </c>
      <c r="E41" s="56">
        <v>7.3120000000000008E-3</v>
      </c>
      <c r="F41" s="22">
        <f t="shared" si="3"/>
        <v>43.872000000000007</v>
      </c>
      <c r="G41" s="2"/>
    </row>
    <row r="42" spans="1:8" x14ac:dyDescent="0.35">
      <c r="A42" s="9">
        <v>8</v>
      </c>
      <c r="B42" s="2"/>
      <c r="C42" s="22"/>
      <c r="D42" s="47">
        <f t="shared" si="2"/>
        <v>0</v>
      </c>
      <c r="E42" s="22"/>
      <c r="F42" s="22">
        <f t="shared" si="3"/>
        <v>0</v>
      </c>
      <c r="G42" s="2"/>
    </row>
    <row r="43" spans="1:8" x14ac:dyDescent="0.35">
      <c r="A43" s="9">
        <v>9</v>
      </c>
      <c r="B43" s="2"/>
      <c r="C43" s="22"/>
      <c r="D43" s="47">
        <f t="shared" si="2"/>
        <v>0</v>
      </c>
      <c r="E43" s="22"/>
      <c r="F43" s="22">
        <f t="shared" si="3"/>
        <v>0</v>
      </c>
      <c r="G43" s="2"/>
    </row>
    <row r="44" spans="1:8" x14ac:dyDescent="0.35">
      <c r="A44" s="9">
        <v>10</v>
      </c>
      <c r="B44" s="13"/>
      <c r="C44" s="22"/>
      <c r="D44" s="47">
        <f t="shared" si="2"/>
        <v>0</v>
      </c>
      <c r="E44" s="22"/>
      <c r="F44" s="22">
        <f t="shared" si="3"/>
        <v>0</v>
      </c>
      <c r="G44" s="2"/>
    </row>
    <row r="45" spans="1:8" x14ac:dyDescent="0.35">
      <c r="A45" s="9">
        <v>11</v>
      </c>
      <c r="B45" s="2"/>
      <c r="C45" s="22"/>
      <c r="D45" s="47">
        <f t="shared" si="2"/>
        <v>0</v>
      </c>
      <c r="E45" s="22"/>
      <c r="F45" s="22">
        <f t="shared" si="3"/>
        <v>0</v>
      </c>
      <c r="G45" s="2"/>
    </row>
    <row r="46" spans="1:8" x14ac:dyDescent="0.35">
      <c r="A46" s="9">
        <v>12</v>
      </c>
      <c r="B46" s="2"/>
      <c r="C46" s="22"/>
      <c r="D46" s="47">
        <f t="shared" si="2"/>
        <v>0</v>
      </c>
      <c r="E46" s="22"/>
      <c r="F46" s="22">
        <f t="shared" si="3"/>
        <v>0</v>
      </c>
      <c r="G46" s="2"/>
    </row>
    <row r="47" spans="1:8" x14ac:dyDescent="0.35">
      <c r="A47" s="9">
        <v>13</v>
      </c>
      <c r="B47" s="2"/>
      <c r="C47" s="22"/>
      <c r="D47" s="47">
        <f t="shared" si="2"/>
        <v>0</v>
      </c>
      <c r="E47" s="22"/>
      <c r="F47" s="22">
        <f t="shared" si="3"/>
        <v>0</v>
      </c>
      <c r="G47" s="2"/>
    </row>
    <row r="48" spans="1:8" x14ac:dyDescent="0.35">
      <c r="A48" s="9">
        <v>14</v>
      </c>
      <c r="B48" s="2"/>
      <c r="C48" s="22"/>
      <c r="D48" s="47">
        <f t="shared" si="2"/>
        <v>0</v>
      </c>
      <c r="E48" s="22"/>
      <c r="F48" s="22">
        <f t="shared" si="3"/>
        <v>0</v>
      </c>
      <c r="G48" s="2"/>
    </row>
    <row r="49" spans="1:8" x14ac:dyDescent="0.35">
      <c r="A49" s="9">
        <v>15</v>
      </c>
      <c r="B49" s="2"/>
      <c r="C49" s="22"/>
      <c r="D49" s="47">
        <f t="shared" si="2"/>
        <v>0</v>
      </c>
      <c r="E49" s="22"/>
      <c r="F49" s="22">
        <f t="shared" si="3"/>
        <v>0</v>
      </c>
      <c r="G49" s="2"/>
    </row>
    <row r="50" spans="1:8" x14ac:dyDescent="0.35">
      <c r="A50" s="9">
        <v>16</v>
      </c>
      <c r="B50" s="2"/>
      <c r="C50" s="22"/>
      <c r="D50" s="47">
        <f t="shared" si="2"/>
        <v>0</v>
      </c>
      <c r="E50" s="22"/>
      <c r="F50" s="22">
        <f t="shared" si="3"/>
        <v>0</v>
      </c>
    </row>
    <row r="51" spans="1:8" x14ac:dyDescent="0.35">
      <c r="A51" s="9">
        <v>17</v>
      </c>
      <c r="B51" s="2"/>
      <c r="C51" s="22"/>
      <c r="D51" s="47">
        <f t="shared" si="2"/>
        <v>0</v>
      </c>
      <c r="E51" s="22"/>
      <c r="F51" s="22">
        <f t="shared" si="3"/>
        <v>0</v>
      </c>
      <c r="G51" s="2"/>
    </row>
    <row r="52" spans="1:8" x14ac:dyDescent="0.35">
      <c r="A52" s="9">
        <v>18</v>
      </c>
      <c r="B52" s="2"/>
      <c r="C52" s="22"/>
      <c r="D52" s="47">
        <f t="shared" si="2"/>
        <v>0</v>
      </c>
      <c r="E52" s="22"/>
      <c r="F52" s="22">
        <f t="shared" si="3"/>
        <v>0</v>
      </c>
      <c r="G52" s="2"/>
    </row>
    <row r="53" spans="1:8" x14ac:dyDescent="0.35">
      <c r="A53" s="9">
        <v>19</v>
      </c>
      <c r="B53" s="2"/>
      <c r="C53" s="22"/>
      <c r="D53" s="47">
        <f t="shared" si="2"/>
        <v>0</v>
      </c>
      <c r="E53" s="22"/>
      <c r="F53" s="22">
        <f t="shared" si="3"/>
        <v>0</v>
      </c>
      <c r="G53" s="2"/>
    </row>
    <row r="54" spans="1:8" x14ac:dyDescent="0.35">
      <c r="A54" s="9">
        <v>20</v>
      </c>
      <c r="B54" s="2"/>
      <c r="C54" s="22"/>
      <c r="D54" s="47">
        <f t="shared" si="2"/>
        <v>0</v>
      </c>
      <c r="E54" s="18"/>
      <c r="F54" s="22">
        <f t="shared" si="3"/>
        <v>0</v>
      </c>
      <c r="G54" s="2"/>
    </row>
    <row r="55" spans="1:8" x14ac:dyDescent="0.35">
      <c r="A55" s="9"/>
      <c r="B55" s="5" t="s">
        <v>30</v>
      </c>
      <c r="C55" s="23">
        <f>SUM(C35:C54)</f>
        <v>67.751163999999974</v>
      </c>
      <c r="D55" s="23">
        <f>SUM(D35:D54)</f>
        <v>406506.98400000005</v>
      </c>
      <c r="E55" s="23">
        <f>SUM(E35:E54)</f>
        <v>67.751163999999974</v>
      </c>
      <c r="F55" s="23">
        <f>SUM(F35:F54)</f>
        <v>406506.98400000005</v>
      </c>
      <c r="G55" s="12">
        <v>100</v>
      </c>
      <c r="H55" s="1" t="s">
        <v>221</v>
      </c>
    </row>
    <row r="56" spans="1:8" x14ac:dyDescent="0.35">
      <c r="A56" s="9"/>
      <c r="B56" s="2" t="s">
        <v>292</v>
      </c>
      <c r="C56" s="22"/>
      <c r="D56" s="18"/>
      <c r="E56" s="18"/>
      <c r="F56" s="18"/>
      <c r="G56" s="12">
        <v>400</v>
      </c>
      <c r="H56" s="1" t="s">
        <v>222</v>
      </c>
    </row>
    <row r="57" spans="1:8" x14ac:dyDescent="0.35">
      <c r="A57" s="9"/>
      <c r="B57" s="2" t="s">
        <v>293</v>
      </c>
      <c r="C57" s="22"/>
      <c r="D57" s="18"/>
      <c r="E57" s="18"/>
      <c r="F57" s="18"/>
      <c r="G57" s="12">
        <f>F55-G33-G55-G56</f>
        <v>-142675.81599999999</v>
      </c>
      <c r="H57" s="1" t="s">
        <v>223</v>
      </c>
    </row>
    <row r="58" spans="1:8" x14ac:dyDescent="0.35">
      <c r="A58" s="9"/>
      <c r="B58" s="2" t="s">
        <v>369</v>
      </c>
      <c r="C58" s="22"/>
      <c r="D58" s="18"/>
      <c r="E58" s="18"/>
      <c r="F58" s="18">
        <f>F55-100</f>
        <v>406406.98400000005</v>
      </c>
      <c r="G58" s="12"/>
    </row>
    <row r="59" spans="1:8" x14ac:dyDescent="0.35">
      <c r="A59" s="9"/>
      <c r="B59" s="2" t="s">
        <v>24</v>
      </c>
      <c r="C59" s="22"/>
      <c r="D59" s="18"/>
      <c r="E59" s="18"/>
      <c r="F59" s="18"/>
      <c r="G59" s="12"/>
    </row>
  </sheetData>
  <mergeCells count="2">
    <mergeCell ref="A1:F1"/>
    <mergeCell ref="A2:F2"/>
  </mergeCells>
  <pageMargins left="0.31496062992125984" right="0.11811023622047245" top="0.15748031496062992" bottom="0.15748031496062992" header="0.31496062992125984" footer="0.31496062992125984"/>
  <pageSetup paperSize="9" scale="55" orientation="portrait" horizontalDpi="203" verticalDpi="20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9"/>
  <sheetViews>
    <sheetView showGridLines="0" zoomScale="55" zoomScaleNormal="55" workbookViewId="0">
      <selection activeCell="B38" sqref="B38"/>
    </sheetView>
  </sheetViews>
  <sheetFormatPr defaultColWidth="8.81640625" defaultRowHeight="14.5" x14ac:dyDescent="0.35"/>
  <cols>
    <col min="1" max="1" width="16.81640625" style="7" customWidth="1"/>
    <col min="2" max="2" width="100.1796875" style="1" customWidth="1"/>
    <col min="3" max="3" width="22.54296875" style="24" customWidth="1"/>
    <col min="4" max="4" width="19.08984375" style="20" bestFit="1" customWidth="1"/>
    <col min="5" max="5" width="15.90625" style="20" customWidth="1"/>
    <col min="6" max="6" width="17.90625" style="20" customWidth="1"/>
    <col min="7" max="7" width="23.36328125" style="1" customWidth="1"/>
    <col min="8" max="8" width="9.1796875" style="1" bestFit="1" customWidth="1"/>
    <col min="9" max="16384" width="8.81640625" style="1"/>
  </cols>
  <sheetData>
    <row r="1" spans="1:8" ht="25.5" customHeight="1" x14ac:dyDescent="0.4">
      <c r="A1" s="57" t="s">
        <v>31</v>
      </c>
      <c r="B1" s="57"/>
      <c r="C1" s="57"/>
      <c r="D1" s="57"/>
      <c r="E1" s="57"/>
      <c r="F1" s="57"/>
    </row>
    <row r="2" spans="1:8" x14ac:dyDescent="0.35">
      <c r="A2" s="58"/>
      <c r="B2" s="58"/>
      <c r="C2" s="58"/>
      <c r="D2" s="58"/>
      <c r="E2" s="58"/>
      <c r="F2" s="58"/>
    </row>
    <row r="3" spans="1:8" s="7" customFormat="1" ht="27" customHeight="1" x14ac:dyDescent="0.35">
      <c r="A3" s="6" t="s">
        <v>0</v>
      </c>
      <c r="B3" s="6" t="s">
        <v>374</v>
      </c>
      <c r="C3" s="21" t="s">
        <v>375</v>
      </c>
      <c r="D3" s="17"/>
      <c r="E3" s="17">
        <v>2000</v>
      </c>
      <c r="F3" s="17">
        <v>2000</v>
      </c>
      <c r="G3" s="28">
        <f>F3*200</f>
        <v>400000</v>
      </c>
      <c r="H3" s="28"/>
    </row>
    <row r="4" spans="1:8" s="7" customFormat="1" ht="53" customHeight="1" x14ac:dyDescent="0.35">
      <c r="A4" s="8" t="s">
        <v>2</v>
      </c>
      <c r="B4" s="8" t="s">
        <v>6</v>
      </c>
      <c r="C4" s="25" t="s">
        <v>160</v>
      </c>
      <c r="D4" s="27" t="s">
        <v>337</v>
      </c>
      <c r="E4" s="27" t="s">
        <v>243</v>
      </c>
      <c r="F4" s="27" t="s">
        <v>232</v>
      </c>
      <c r="G4" s="26" t="s">
        <v>4</v>
      </c>
    </row>
    <row r="5" spans="1:8" x14ac:dyDescent="0.35">
      <c r="A5" s="9">
        <v>1</v>
      </c>
      <c r="B5" s="2" t="s">
        <v>376</v>
      </c>
      <c r="C5" s="22">
        <v>40</v>
      </c>
      <c r="D5" s="47">
        <f>C5*$E$3</f>
        <v>80000</v>
      </c>
      <c r="E5" s="22">
        <v>40</v>
      </c>
      <c r="F5" s="22">
        <f>E5*$F$3</f>
        <v>80000</v>
      </c>
      <c r="G5" s="2"/>
    </row>
    <row r="6" spans="1:8" x14ac:dyDescent="0.35">
      <c r="A6" s="9">
        <v>2</v>
      </c>
      <c r="B6" s="2" t="s">
        <v>249</v>
      </c>
      <c r="C6" s="22">
        <v>20</v>
      </c>
      <c r="D6" s="47">
        <f t="shared" ref="D6:D25" si="0">C6*$E$3</f>
        <v>40000</v>
      </c>
      <c r="E6" s="22">
        <v>20</v>
      </c>
      <c r="F6" s="22">
        <f t="shared" ref="F6:F24" si="1">E6*$F$3</f>
        <v>40000</v>
      </c>
      <c r="G6" s="2"/>
    </row>
    <row r="7" spans="1:8" x14ac:dyDescent="0.35">
      <c r="A7" s="9">
        <v>3</v>
      </c>
      <c r="B7" s="2" t="s">
        <v>377</v>
      </c>
      <c r="C7" s="22">
        <v>4</v>
      </c>
      <c r="D7" s="47">
        <f t="shared" si="0"/>
        <v>8000</v>
      </c>
      <c r="E7" s="22">
        <v>4</v>
      </c>
      <c r="F7" s="22">
        <f t="shared" si="1"/>
        <v>8000</v>
      </c>
      <c r="G7" s="2"/>
    </row>
    <row r="8" spans="1:8" x14ac:dyDescent="0.35">
      <c r="A8" s="9">
        <v>4</v>
      </c>
      <c r="B8" s="2" t="s">
        <v>140</v>
      </c>
      <c r="C8" s="22">
        <v>20</v>
      </c>
      <c r="D8" s="47">
        <f t="shared" si="0"/>
        <v>40000</v>
      </c>
      <c r="E8" s="22">
        <v>20</v>
      </c>
      <c r="F8" s="22">
        <f t="shared" si="1"/>
        <v>40000</v>
      </c>
      <c r="G8" s="2"/>
    </row>
    <row r="9" spans="1:8" x14ac:dyDescent="0.35">
      <c r="A9" s="9">
        <v>5</v>
      </c>
      <c r="B9" s="2" t="s">
        <v>254</v>
      </c>
      <c r="C9" s="22">
        <v>0.2</v>
      </c>
      <c r="D9" s="47">
        <f t="shared" si="0"/>
        <v>400</v>
      </c>
      <c r="E9" s="22">
        <v>0.2</v>
      </c>
      <c r="F9" s="22">
        <f t="shared" si="1"/>
        <v>400</v>
      </c>
      <c r="G9" s="2"/>
    </row>
    <row r="10" spans="1:8" x14ac:dyDescent="0.35">
      <c r="A10" s="9">
        <v>6</v>
      </c>
      <c r="B10" s="2" t="s">
        <v>256</v>
      </c>
      <c r="C10" s="22">
        <v>10</v>
      </c>
      <c r="D10" s="47">
        <f t="shared" si="0"/>
        <v>20000</v>
      </c>
      <c r="E10" s="22">
        <v>10</v>
      </c>
      <c r="F10" s="22">
        <f t="shared" si="1"/>
        <v>20000</v>
      </c>
      <c r="G10" s="2"/>
    </row>
    <row r="11" spans="1:8" x14ac:dyDescent="0.35">
      <c r="A11" s="9">
        <v>7</v>
      </c>
      <c r="B11" s="2" t="s">
        <v>378</v>
      </c>
      <c r="C11" s="22">
        <v>0.02</v>
      </c>
      <c r="D11" s="47">
        <f t="shared" si="0"/>
        <v>40</v>
      </c>
      <c r="E11" s="22">
        <v>0.02</v>
      </c>
      <c r="F11" s="22">
        <f t="shared" si="1"/>
        <v>40</v>
      </c>
      <c r="G11" s="2"/>
    </row>
    <row r="12" spans="1:8" x14ac:dyDescent="0.35">
      <c r="A12" s="9">
        <v>8</v>
      </c>
      <c r="B12" s="2" t="s">
        <v>359</v>
      </c>
      <c r="C12" s="22">
        <v>1</v>
      </c>
      <c r="D12" s="47">
        <f t="shared" si="0"/>
        <v>2000</v>
      </c>
      <c r="E12" s="22">
        <v>1</v>
      </c>
      <c r="F12" s="22">
        <f t="shared" si="1"/>
        <v>2000</v>
      </c>
      <c r="G12" s="2"/>
    </row>
    <row r="13" spans="1:8" x14ac:dyDescent="0.35">
      <c r="A13" s="9">
        <v>9</v>
      </c>
      <c r="B13" s="2" t="s">
        <v>379</v>
      </c>
      <c r="C13" s="22">
        <v>0.02</v>
      </c>
      <c r="D13" s="47">
        <f t="shared" si="0"/>
        <v>40</v>
      </c>
      <c r="E13" s="22">
        <v>0.02</v>
      </c>
      <c r="F13" s="22">
        <f t="shared" si="1"/>
        <v>40</v>
      </c>
      <c r="G13" s="2"/>
    </row>
    <row r="14" spans="1:8" x14ac:dyDescent="0.35">
      <c r="A14" s="9">
        <v>10</v>
      </c>
      <c r="B14" s="13" t="s">
        <v>380</v>
      </c>
      <c r="C14" s="22">
        <v>1.1599999999999999</v>
      </c>
      <c r="D14" s="47">
        <f t="shared" si="0"/>
        <v>2320</v>
      </c>
      <c r="E14" s="22">
        <v>1.1599999999999999</v>
      </c>
      <c r="F14" s="22">
        <f t="shared" si="1"/>
        <v>2320</v>
      </c>
      <c r="G14" s="2"/>
    </row>
    <row r="15" spans="1:8" x14ac:dyDescent="0.35">
      <c r="A15" s="9">
        <v>11</v>
      </c>
      <c r="B15" s="2" t="s">
        <v>300</v>
      </c>
      <c r="C15" s="22">
        <v>0.90000000000000013</v>
      </c>
      <c r="D15" s="47">
        <f t="shared" si="0"/>
        <v>1800.0000000000002</v>
      </c>
      <c r="E15" s="22">
        <v>0.90000000000000013</v>
      </c>
      <c r="F15" s="22">
        <f t="shared" si="1"/>
        <v>1800.0000000000002</v>
      </c>
      <c r="G15" s="2"/>
    </row>
    <row r="16" spans="1:8" x14ac:dyDescent="0.35">
      <c r="A16" s="9">
        <v>12</v>
      </c>
      <c r="B16" s="2" t="s">
        <v>381</v>
      </c>
      <c r="C16" s="22">
        <v>4</v>
      </c>
      <c r="D16" s="47">
        <f t="shared" si="0"/>
        <v>8000</v>
      </c>
      <c r="E16" s="22">
        <v>4</v>
      </c>
      <c r="F16" s="22">
        <f t="shared" si="1"/>
        <v>8000</v>
      </c>
    </row>
    <row r="17" spans="1:8" x14ac:dyDescent="0.35">
      <c r="A17" s="9">
        <v>13</v>
      </c>
      <c r="B17" s="2" t="s">
        <v>259</v>
      </c>
      <c r="C17" s="22">
        <v>1</v>
      </c>
      <c r="D17" s="47">
        <f t="shared" si="0"/>
        <v>2000</v>
      </c>
      <c r="E17" s="22">
        <v>1</v>
      </c>
      <c r="F17" s="22">
        <f t="shared" si="1"/>
        <v>2000</v>
      </c>
      <c r="G17" s="2"/>
    </row>
    <row r="18" spans="1:8" x14ac:dyDescent="0.35">
      <c r="A18" s="9">
        <v>14</v>
      </c>
      <c r="B18" s="2" t="s">
        <v>262</v>
      </c>
      <c r="C18" s="22">
        <v>1</v>
      </c>
      <c r="D18" s="47">
        <f t="shared" si="0"/>
        <v>2000</v>
      </c>
      <c r="E18" s="22">
        <v>1</v>
      </c>
      <c r="F18" s="22">
        <f t="shared" si="1"/>
        <v>2000</v>
      </c>
      <c r="G18" s="2" t="s">
        <v>382</v>
      </c>
    </row>
    <row r="19" spans="1:8" x14ac:dyDescent="0.35">
      <c r="A19" s="9">
        <v>15</v>
      </c>
      <c r="B19" s="2" t="s">
        <v>126</v>
      </c>
      <c r="C19" s="22">
        <v>0.1</v>
      </c>
      <c r="D19" s="47">
        <f t="shared" si="0"/>
        <v>200</v>
      </c>
      <c r="E19" s="22">
        <v>0.1</v>
      </c>
      <c r="F19" s="22">
        <f t="shared" si="1"/>
        <v>200</v>
      </c>
      <c r="G19" s="2"/>
    </row>
    <row r="20" spans="1:8" x14ac:dyDescent="0.35">
      <c r="A20" s="9">
        <v>16</v>
      </c>
      <c r="B20" s="2" t="s">
        <v>154</v>
      </c>
      <c r="C20" s="22">
        <v>96.6</v>
      </c>
      <c r="D20" s="47">
        <f t="shared" si="0"/>
        <v>193200</v>
      </c>
      <c r="E20" s="22">
        <v>97</v>
      </c>
      <c r="F20" s="22">
        <f t="shared" si="1"/>
        <v>194000</v>
      </c>
      <c r="G20" s="1" t="s">
        <v>402</v>
      </c>
    </row>
    <row r="21" spans="1:8" x14ac:dyDescent="0.35">
      <c r="A21" s="9">
        <v>17</v>
      </c>
      <c r="B21" s="2"/>
      <c r="C21" s="22"/>
      <c r="D21" s="47">
        <f t="shared" si="0"/>
        <v>0</v>
      </c>
      <c r="E21" s="22"/>
      <c r="F21" s="22">
        <f t="shared" si="1"/>
        <v>0</v>
      </c>
      <c r="G21" s="2"/>
    </row>
    <row r="22" spans="1:8" x14ac:dyDescent="0.35">
      <c r="A22" s="9">
        <v>18</v>
      </c>
      <c r="B22" s="2"/>
      <c r="C22" s="22"/>
      <c r="D22" s="47">
        <f>C22*$E$3</f>
        <v>0</v>
      </c>
      <c r="E22" s="22"/>
      <c r="F22" s="22">
        <f>E22*$F$3</f>
        <v>0</v>
      </c>
      <c r="G22" s="2"/>
    </row>
    <row r="23" spans="1:8" x14ac:dyDescent="0.35">
      <c r="A23" s="9">
        <v>19</v>
      </c>
      <c r="B23" s="2"/>
      <c r="C23" s="22"/>
      <c r="D23" s="47">
        <f t="shared" si="0"/>
        <v>0</v>
      </c>
      <c r="E23" s="22"/>
      <c r="F23" s="22">
        <f>E23*$F$3</f>
        <v>0</v>
      </c>
      <c r="G23" s="2"/>
    </row>
    <row r="24" spans="1:8" x14ac:dyDescent="0.35">
      <c r="A24" s="9">
        <v>20</v>
      </c>
      <c r="B24" s="2"/>
      <c r="C24" s="22"/>
      <c r="D24" s="47">
        <f t="shared" si="0"/>
        <v>0</v>
      </c>
      <c r="E24" s="18"/>
      <c r="F24" s="18">
        <f t="shared" si="1"/>
        <v>0</v>
      </c>
      <c r="G24" s="2"/>
    </row>
    <row r="25" spans="1:8" x14ac:dyDescent="0.35">
      <c r="A25" s="9"/>
      <c r="B25" s="5" t="s">
        <v>30</v>
      </c>
      <c r="C25" s="23">
        <f>SUM(C5:C24)</f>
        <v>200</v>
      </c>
      <c r="D25" s="23">
        <f t="shared" si="0"/>
        <v>400000</v>
      </c>
      <c r="E25" s="23">
        <f>SUM(E5:E24)</f>
        <v>200.39999999999998</v>
      </c>
      <c r="F25" s="23">
        <f>SUM(F5:F24)</f>
        <v>400800</v>
      </c>
      <c r="G25" s="12">
        <v>100</v>
      </c>
      <c r="H25" s="1" t="s">
        <v>221</v>
      </c>
    </row>
    <row r="26" spans="1:8" x14ac:dyDescent="0.35">
      <c r="A26" s="9"/>
      <c r="B26" s="2" t="s">
        <v>292</v>
      </c>
      <c r="C26" s="22">
        <v>1</v>
      </c>
      <c r="D26" s="18"/>
      <c r="E26" s="18"/>
      <c r="F26" s="18"/>
      <c r="G26" s="12">
        <v>400</v>
      </c>
      <c r="H26" s="1" t="s">
        <v>222</v>
      </c>
    </row>
    <row r="27" spans="1:8" x14ac:dyDescent="0.35">
      <c r="A27" s="9"/>
      <c r="B27" s="2" t="s">
        <v>369</v>
      </c>
      <c r="C27" s="22">
        <v>1</v>
      </c>
      <c r="D27" s="18"/>
      <c r="E27" s="18"/>
      <c r="F27" s="18"/>
      <c r="G27" s="12">
        <f>F25-G3-G25-G26</f>
        <v>300</v>
      </c>
      <c r="H27" s="1" t="s">
        <v>223</v>
      </c>
    </row>
    <row r="28" spans="1:8" x14ac:dyDescent="0.35">
      <c r="A28" s="9"/>
      <c r="B28" s="2"/>
      <c r="C28" s="22"/>
      <c r="D28" s="18"/>
      <c r="E28" s="18"/>
      <c r="F28" s="18">
        <f>F25-100</f>
        <v>400700</v>
      </c>
      <c r="G28" s="12"/>
    </row>
    <row r="29" spans="1:8" x14ac:dyDescent="0.35">
      <c r="A29" s="9"/>
      <c r="B29" s="1" t="s">
        <v>24</v>
      </c>
      <c r="C29" s="22"/>
      <c r="D29" s="18"/>
      <c r="E29" s="18"/>
      <c r="F29" s="18"/>
      <c r="G29" s="12"/>
    </row>
  </sheetData>
  <mergeCells count="2">
    <mergeCell ref="A1:F1"/>
    <mergeCell ref="A2:F2"/>
  </mergeCells>
  <pageMargins left="0.31496062992125984" right="0.11811023622047245" top="0.15748031496062992" bottom="0.15748031496062992" header="0.31496062992125984" footer="0.31496062992125984"/>
  <pageSetup paperSize="9" scale="55"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CTY ZENCOS MẸ (BÁNHMÌ CẬUVÀNG)</vt:lpstr>
      <vt:lpstr>CTY OHELAH</vt:lpstr>
      <vt:lpstr>CTY GIA KỲ</vt:lpstr>
      <vt:lpstr>CTY ĐỒNG TÂM</vt:lpstr>
      <vt:lpstr>CTY CAO GỪNG HOÀNG CUNG</vt:lpstr>
      <vt:lpstr>CTY CARROT</vt:lpstr>
      <vt:lpstr>CTY LALA</vt:lpstr>
      <vt:lpstr>CTY VITA</vt:lpstr>
      <vt:lpstr>NOE - NUOC TAY TRANG</vt:lpstr>
      <vt:lpstr>DC - KEM MUN 1</vt:lpstr>
      <vt:lpstr>THANH HA - KEM FACE</vt:lpstr>
      <vt:lpstr>THANH HA - KCN</vt:lpstr>
      <vt:lpstr>THANH HA - BODY</vt:lpstr>
      <vt:lpstr>HUY- DAU DUONG</vt:lpstr>
      <vt:lpstr>HUY - SEA SALT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TRUONG</dc:creator>
  <cp:lastModifiedBy>Trang Truong</cp:lastModifiedBy>
  <cp:lastPrinted>2026-03-02T09:36:41Z</cp:lastPrinted>
  <dcterms:created xsi:type="dcterms:W3CDTF">2026-01-02T01:23:48Z</dcterms:created>
  <dcterms:modified xsi:type="dcterms:W3CDTF">2026-03-21T15:09:44Z</dcterms:modified>
</cp:coreProperties>
</file>